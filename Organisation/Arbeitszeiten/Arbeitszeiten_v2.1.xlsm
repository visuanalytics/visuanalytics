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VisuAnalytics\Data-Analytics\Organisation\Arbeitszeiten\"/>
    </mc:Choice>
  </mc:AlternateContent>
  <xr:revisionPtr revIDLastSave="0" documentId="13_ncr:1_{45924E7C-EDBC-4FD0-AED6-BE9ADED27883}" xr6:coauthVersionLast="44" xr6:coauthVersionMax="44" xr10:uidLastSave="{00000000-0000-0000-0000-000000000000}"/>
  <bookViews>
    <workbookView xWindow="-120" yWindow="-120" windowWidth="29040" windowHeight="15840" xr2:uid="{18C2AE6B-9F7B-4513-8F84-E6F59AC358CD}"/>
  </bookViews>
  <sheets>
    <sheet name="Übersicht" sheetId="1" r:id="rId1"/>
    <sheet name="Sprintübersicht" sheetId="9" r:id="rId2"/>
    <sheet name="Issues" sheetId="10" r:id="rId3"/>
    <sheet name="Meetings" sheetId="8" r:id="rId4"/>
    <sheet name="Pellekoorne" sheetId="2" r:id="rId5"/>
    <sheet name="Gutsche" sheetId="3" r:id="rId6"/>
    <sheet name="Lapp" sheetId="4" r:id="rId7"/>
    <sheet name="Martschenko" sheetId="5" r:id="rId8"/>
    <sheet name="Soboth" sheetId="6" r:id="rId9"/>
    <sheet name="Stephan" sheetId="7" r:id="rId10"/>
  </sheets>
  <functionGroups builtInGroupCount="19"/>
  <definedNames>
    <definedName name="_Hlk39578305" localSheetId="5">Gutsche!$U$5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2" i="7" l="1"/>
  <c r="I32" i="6"/>
  <c r="I32" i="5"/>
  <c r="I32" i="4"/>
  <c r="I32" i="3"/>
  <c r="I32" i="2"/>
  <c r="G14" i="7" l="1"/>
  <c r="F14" i="7"/>
  <c r="E14" i="7"/>
  <c r="D14" i="7"/>
  <c r="C14" i="7"/>
  <c r="G12" i="7"/>
  <c r="F12" i="7"/>
  <c r="E12" i="7"/>
  <c r="D12" i="7"/>
  <c r="C12" i="7"/>
  <c r="G10" i="7"/>
  <c r="F10" i="7"/>
  <c r="E10" i="7"/>
  <c r="D10" i="7"/>
  <c r="C10" i="7"/>
  <c r="G8" i="7"/>
  <c r="F8" i="7"/>
  <c r="E8" i="7"/>
  <c r="D8" i="7"/>
  <c r="C8" i="7"/>
  <c r="G6" i="7"/>
  <c r="F6" i="7"/>
  <c r="E6" i="7"/>
  <c r="D6" i="7"/>
  <c r="C6" i="7"/>
  <c r="G4" i="7"/>
  <c r="F4" i="7"/>
  <c r="E4" i="7"/>
  <c r="D4" i="7"/>
  <c r="C4" i="7"/>
  <c r="G14" i="6"/>
  <c r="F14" i="6"/>
  <c r="E14" i="6"/>
  <c r="D14" i="6"/>
  <c r="C14" i="6"/>
  <c r="G12" i="6"/>
  <c r="F12" i="6"/>
  <c r="E12" i="6"/>
  <c r="D12" i="6"/>
  <c r="C12" i="6"/>
  <c r="G10" i="6"/>
  <c r="F10" i="6"/>
  <c r="E10" i="6"/>
  <c r="D10" i="6"/>
  <c r="C10" i="6"/>
  <c r="G8" i="6"/>
  <c r="F8" i="6"/>
  <c r="E8" i="6"/>
  <c r="D8" i="6"/>
  <c r="C8" i="6"/>
  <c r="G6" i="6"/>
  <c r="F6" i="6"/>
  <c r="E6" i="6"/>
  <c r="D6" i="6"/>
  <c r="C6" i="6"/>
  <c r="G4" i="6"/>
  <c r="F4" i="6"/>
  <c r="E4" i="6"/>
  <c r="D4" i="6"/>
  <c r="C4" i="6"/>
  <c r="G14" i="5"/>
  <c r="F14" i="5"/>
  <c r="E14" i="5"/>
  <c r="D14" i="5"/>
  <c r="C14" i="5"/>
  <c r="G12" i="5"/>
  <c r="F12" i="5"/>
  <c r="E12" i="5"/>
  <c r="D12" i="5"/>
  <c r="C12" i="5"/>
  <c r="G10" i="5"/>
  <c r="F10" i="5"/>
  <c r="E10" i="5"/>
  <c r="D10" i="5"/>
  <c r="C10" i="5"/>
  <c r="G8" i="5"/>
  <c r="F8" i="5"/>
  <c r="E8" i="5"/>
  <c r="D8" i="5"/>
  <c r="C8" i="5"/>
  <c r="G6" i="5"/>
  <c r="F6" i="5"/>
  <c r="E6" i="5"/>
  <c r="D6" i="5"/>
  <c r="C6" i="5"/>
  <c r="G4" i="5"/>
  <c r="F4" i="5"/>
  <c r="E4" i="5"/>
  <c r="D4" i="5"/>
  <c r="C4" i="5"/>
  <c r="G14" i="4"/>
  <c r="F14" i="4"/>
  <c r="E14" i="4"/>
  <c r="D14" i="4"/>
  <c r="C14" i="4"/>
  <c r="G12" i="4"/>
  <c r="F12" i="4"/>
  <c r="E12" i="4"/>
  <c r="D12" i="4"/>
  <c r="C12" i="4"/>
  <c r="G10" i="4"/>
  <c r="F10" i="4"/>
  <c r="E10" i="4"/>
  <c r="D10" i="4"/>
  <c r="C10" i="4"/>
  <c r="G8" i="4"/>
  <c r="F8" i="4"/>
  <c r="E8" i="4"/>
  <c r="D8" i="4"/>
  <c r="C8" i="4"/>
  <c r="G6" i="4"/>
  <c r="F6" i="4"/>
  <c r="E6" i="4"/>
  <c r="D6" i="4"/>
  <c r="C6" i="4"/>
  <c r="G4" i="4"/>
  <c r="F4" i="4"/>
  <c r="E4" i="4"/>
  <c r="D4" i="4"/>
  <c r="C4" i="4"/>
  <c r="G14" i="3"/>
  <c r="F14" i="3"/>
  <c r="E14" i="3"/>
  <c r="D14" i="3"/>
  <c r="C14" i="3"/>
  <c r="G12" i="3"/>
  <c r="F12" i="3"/>
  <c r="E12" i="3"/>
  <c r="D12" i="3"/>
  <c r="C12" i="3"/>
  <c r="G10" i="3"/>
  <c r="F10" i="3"/>
  <c r="E10" i="3"/>
  <c r="D10" i="3"/>
  <c r="C10" i="3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14" i="2"/>
  <c r="F14" i="2"/>
  <c r="E14" i="2"/>
  <c r="D14" i="2"/>
  <c r="C14" i="2"/>
  <c r="G12" i="2"/>
  <c r="F12" i="2"/>
  <c r="E12" i="2"/>
  <c r="D12" i="2"/>
  <c r="C12" i="2"/>
  <c r="G10" i="2"/>
  <c r="F10" i="2"/>
  <c r="E10" i="2"/>
  <c r="D10" i="2"/>
  <c r="C10" i="2"/>
  <c r="G8" i="2"/>
  <c r="F8" i="2"/>
  <c r="E8" i="2"/>
  <c r="D8" i="2"/>
  <c r="C8" i="2"/>
  <c r="G6" i="2"/>
  <c r="F6" i="2"/>
  <c r="E6" i="2"/>
  <c r="D6" i="2"/>
  <c r="C6" i="2"/>
  <c r="G4" i="2"/>
  <c r="F4" i="2"/>
  <c r="E4" i="2"/>
  <c r="D4" i="2"/>
  <c r="C4" i="2"/>
  <c r="C11" i="9" l="1"/>
  <c r="D11" i="9"/>
  <c r="E11" i="9"/>
  <c r="F11" i="9"/>
  <c r="G11" i="9"/>
  <c r="C13" i="9"/>
  <c r="D13" i="9"/>
  <c r="E13" i="9"/>
  <c r="F13" i="9"/>
  <c r="G13" i="9"/>
  <c r="C15" i="9"/>
  <c r="D15" i="9"/>
  <c r="E15" i="9"/>
  <c r="F15" i="9"/>
  <c r="G15" i="9"/>
  <c r="C17" i="9"/>
  <c r="D17" i="9"/>
  <c r="E17" i="9"/>
  <c r="F17" i="9"/>
  <c r="G17" i="9"/>
  <c r="C19" i="9"/>
  <c r="D19" i="9"/>
  <c r="E19" i="9"/>
  <c r="F19" i="9"/>
  <c r="G19" i="9"/>
  <c r="C21" i="9"/>
  <c r="D21" i="9"/>
  <c r="E21" i="9"/>
  <c r="F21" i="9"/>
  <c r="G21" i="9"/>
  <c r="C23" i="9"/>
  <c r="D23" i="9"/>
  <c r="E23" i="9"/>
  <c r="F23" i="9"/>
  <c r="G23" i="9"/>
  <c r="C25" i="9"/>
  <c r="D25" i="9"/>
  <c r="E25" i="9"/>
  <c r="F25" i="9"/>
  <c r="G25" i="9"/>
  <c r="C27" i="9"/>
  <c r="D27" i="9"/>
  <c r="E27" i="9"/>
  <c r="F27" i="9"/>
  <c r="G27" i="9"/>
  <c r="C29" i="9"/>
  <c r="D29" i="9"/>
  <c r="E29" i="9"/>
  <c r="F29" i="9"/>
  <c r="G29" i="9"/>
  <c r="C31" i="9"/>
  <c r="D31" i="9"/>
  <c r="E31" i="9"/>
  <c r="F31" i="9"/>
  <c r="G31" i="9"/>
  <c r="H30" i="7" l="1"/>
  <c r="H28" i="7"/>
  <c r="H26" i="7"/>
  <c r="H24" i="7"/>
  <c r="H22" i="7"/>
  <c r="H20" i="7"/>
  <c r="H18" i="7"/>
  <c r="H16" i="7"/>
  <c r="H14" i="7"/>
  <c r="H12" i="7"/>
  <c r="H10" i="7"/>
  <c r="H8" i="7"/>
  <c r="H6" i="7"/>
  <c r="H4" i="7"/>
  <c r="H30" i="6"/>
  <c r="H28" i="6"/>
  <c r="H26" i="6"/>
  <c r="H24" i="6"/>
  <c r="H22" i="6"/>
  <c r="H20" i="6"/>
  <c r="H18" i="6"/>
  <c r="H16" i="6"/>
  <c r="H14" i="6"/>
  <c r="H12" i="6"/>
  <c r="H10" i="6"/>
  <c r="H8" i="6"/>
  <c r="H6" i="6"/>
  <c r="H4" i="6"/>
  <c r="H30" i="5"/>
  <c r="H28" i="5"/>
  <c r="H26" i="5"/>
  <c r="H24" i="5"/>
  <c r="H22" i="5"/>
  <c r="H20" i="5"/>
  <c r="H18" i="5"/>
  <c r="H16" i="5"/>
  <c r="H14" i="5"/>
  <c r="H12" i="5"/>
  <c r="H10" i="5"/>
  <c r="H8" i="5"/>
  <c r="H6" i="5"/>
  <c r="H4" i="5"/>
  <c r="H30" i="4"/>
  <c r="H28" i="4"/>
  <c r="H26" i="4"/>
  <c r="H24" i="4"/>
  <c r="H22" i="4"/>
  <c r="H20" i="4"/>
  <c r="H18" i="4"/>
  <c r="H16" i="4"/>
  <c r="H14" i="4"/>
  <c r="H12" i="4"/>
  <c r="H10" i="4"/>
  <c r="H8" i="4"/>
  <c r="H6" i="4"/>
  <c r="H4" i="4"/>
  <c r="H30" i="3"/>
  <c r="H28" i="3"/>
  <c r="H26" i="3"/>
  <c r="H24" i="3"/>
  <c r="H22" i="3"/>
  <c r="H20" i="3"/>
  <c r="H18" i="3"/>
  <c r="H16" i="3"/>
  <c r="H14" i="3"/>
  <c r="H12" i="3"/>
  <c r="H10" i="3"/>
  <c r="H8" i="3"/>
  <c r="H6" i="3"/>
  <c r="H4" i="3"/>
  <c r="H30" i="2"/>
  <c r="H28" i="2"/>
  <c r="H26" i="2"/>
  <c r="H24" i="2"/>
  <c r="H22" i="2"/>
  <c r="H20" i="2"/>
  <c r="H21" i="9" s="1"/>
  <c r="H18" i="2"/>
  <c r="H16" i="2"/>
  <c r="H14" i="2"/>
  <c r="H12" i="2"/>
  <c r="H10" i="2"/>
  <c r="H8" i="2"/>
  <c r="H6" i="2"/>
  <c r="H4" i="2"/>
  <c r="H13" i="9" l="1"/>
  <c r="H29" i="9"/>
  <c r="H15" i="9"/>
  <c r="H23" i="9"/>
  <c r="H31" i="9"/>
  <c r="H7" i="9"/>
  <c r="H5" i="9"/>
  <c r="H25" i="9"/>
  <c r="H17" i="9"/>
  <c r="H11" i="9"/>
  <c r="H19" i="9"/>
  <c r="H27" i="9"/>
  <c r="H9" i="9"/>
  <c r="G7" i="9" l="1"/>
  <c r="F7" i="9"/>
  <c r="E7" i="9"/>
  <c r="D7" i="9"/>
  <c r="C7" i="9"/>
  <c r="G5" i="9"/>
  <c r="F5" i="9"/>
  <c r="E5" i="9"/>
  <c r="D5" i="9"/>
  <c r="C5" i="9"/>
  <c r="G32" i="2" l="1"/>
  <c r="F32" i="2"/>
  <c r="E32" i="2"/>
  <c r="D32" i="2"/>
  <c r="C32" i="2"/>
  <c r="H32" i="7" l="1"/>
  <c r="H32" i="6"/>
  <c r="H32" i="5"/>
  <c r="H32" i="4"/>
  <c r="H32" i="3"/>
  <c r="H32" i="2"/>
  <c r="I6" i="6" l="1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6" i="7"/>
  <c r="X7" i="1" s="1"/>
  <c r="X5" i="1"/>
  <c r="U31" i="1"/>
  <c r="U29" i="1"/>
  <c r="U27" i="1"/>
  <c r="U25" i="1"/>
  <c r="U23" i="1"/>
  <c r="U21" i="1"/>
  <c r="U19" i="1"/>
  <c r="U17" i="1"/>
  <c r="U15" i="1"/>
  <c r="U13" i="1"/>
  <c r="U11" i="1"/>
  <c r="U7" i="1"/>
  <c r="U5" i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6" i="5"/>
  <c r="R7" i="1" s="1"/>
  <c r="I4" i="5"/>
  <c r="R5" i="1" s="1"/>
  <c r="O31" i="1"/>
  <c r="O29" i="1"/>
  <c r="O27" i="1"/>
  <c r="O25" i="1"/>
  <c r="O23" i="1"/>
  <c r="O21" i="1"/>
  <c r="O19" i="1"/>
  <c r="O17" i="1"/>
  <c r="O15" i="1"/>
  <c r="O13" i="1"/>
  <c r="O11" i="1"/>
  <c r="O7" i="1"/>
  <c r="O5" i="1"/>
  <c r="I21" i="1"/>
  <c r="I23" i="1"/>
  <c r="I25" i="1"/>
  <c r="I27" i="1"/>
  <c r="I29" i="1"/>
  <c r="I31" i="1"/>
  <c r="C35" i="1"/>
  <c r="Y5" i="1" l="1"/>
  <c r="Z5" i="1" s="1"/>
  <c r="Y7" i="1"/>
  <c r="Z7" i="1" s="1"/>
  <c r="V5" i="1"/>
  <c r="W5" i="1" s="1"/>
  <c r="V9" i="1"/>
  <c r="V7" i="1"/>
  <c r="W7" i="1" s="1"/>
  <c r="S5" i="1"/>
  <c r="T5" i="1" s="1"/>
  <c r="S9" i="1"/>
  <c r="S7" i="1"/>
  <c r="T7" i="1" s="1"/>
  <c r="P9" i="1"/>
  <c r="P7" i="1"/>
  <c r="Q7" i="1" s="1"/>
  <c r="P5" i="1"/>
  <c r="Q5" i="1" s="1"/>
  <c r="M5" i="1"/>
  <c r="J5" i="1"/>
  <c r="Y9" i="1" l="1"/>
  <c r="L5" i="1"/>
  <c r="L27" i="1"/>
  <c r="L29" i="1"/>
  <c r="L19" i="1"/>
  <c r="L25" i="1"/>
  <c r="L17" i="1"/>
  <c r="L23" i="1"/>
  <c r="L7" i="1"/>
  <c r="L13" i="1"/>
  <c r="L15" i="1"/>
  <c r="L21" i="1"/>
  <c r="L11" i="1"/>
  <c r="L31" i="1"/>
  <c r="N5" i="1" l="1"/>
  <c r="M9" i="1" l="1"/>
  <c r="M7" i="1"/>
  <c r="N7" i="1" s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K5" i="1" l="1"/>
  <c r="I34" i="1"/>
  <c r="J19" i="1" l="1"/>
  <c r="K19" i="1" s="1"/>
  <c r="J23" i="1"/>
  <c r="K23" i="1" s="1"/>
  <c r="J15" i="1"/>
  <c r="K15" i="1" s="1"/>
  <c r="J9" i="1"/>
  <c r="K9" i="1" s="1"/>
  <c r="J31" i="1"/>
  <c r="K31" i="1" s="1"/>
  <c r="J27" i="1"/>
  <c r="K27" i="1" s="1"/>
  <c r="J21" i="1"/>
  <c r="K21" i="1" s="1"/>
  <c r="J13" i="1"/>
  <c r="K13" i="1" s="1"/>
  <c r="J25" i="1"/>
  <c r="K25" i="1" s="1"/>
  <c r="J29" i="1"/>
  <c r="K29" i="1" s="1"/>
  <c r="J17" i="1"/>
  <c r="K17" i="1" s="1"/>
  <c r="J7" i="1"/>
  <c r="K7" i="1" s="1"/>
  <c r="J11" i="1"/>
  <c r="K11" i="1" s="1"/>
  <c r="D32" i="3" l="1"/>
  <c r="F32" i="3"/>
  <c r="G32" i="3"/>
  <c r="C32" i="3"/>
  <c r="E32" i="3"/>
  <c r="I8" i="3"/>
  <c r="L9" i="1" s="1"/>
  <c r="N9" i="1" l="1"/>
  <c r="L34" i="1"/>
  <c r="M31" i="1" s="1"/>
  <c r="N31" i="1" s="1"/>
  <c r="D32" i="4"/>
  <c r="E32" i="4"/>
  <c r="C32" i="4"/>
  <c r="G32" i="4"/>
  <c r="F32" i="4"/>
  <c r="I8" i="4"/>
  <c r="O9" i="1" s="1"/>
  <c r="Q9" i="1" s="1"/>
  <c r="M17" i="1" l="1"/>
  <c r="N17" i="1" s="1"/>
  <c r="M11" i="1"/>
  <c r="N11" i="1" s="1"/>
  <c r="M27" i="1"/>
  <c r="N27" i="1" s="1"/>
  <c r="M23" i="1"/>
  <c r="N23" i="1" s="1"/>
  <c r="M29" i="1"/>
  <c r="N29" i="1" s="1"/>
  <c r="M25" i="1"/>
  <c r="N25" i="1" s="1"/>
  <c r="M15" i="1"/>
  <c r="N15" i="1" s="1"/>
  <c r="M19" i="1"/>
  <c r="N19" i="1" s="1"/>
  <c r="M21" i="1"/>
  <c r="N21" i="1" s="1"/>
  <c r="M13" i="1"/>
  <c r="N13" i="1" s="1"/>
  <c r="O34" i="1"/>
  <c r="P15" i="1" l="1"/>
  <c r="Q15" i="1" s="1"/>
  <c r="P13" i="1"/>
  <c r="Q13" i="1" s="1"/>
  <c r="P23" i="1"/>
  <c r="Q23" i="1" s="1"/>
  <c r="P19" i="1"/>
  <c r="Q19" i="1" s="1"/>
  <c r="P17" i="1"/>
  <c r="Q17" i="1" s="1"/>
  <c r="P29" i="1"/>
  <c r="Q29" i="1" s="1"/>
  <c r="P27" i="1"/>
  <c r="Q27" i="1" s="1"/>
  <c r="P11" i="1"/>
  <c r="Q11" i="1" s="1"/>
  <c r="P21" i="1"/>
  <c r="Q21" i="1" s="1"/>
  <c r="P25" i="1"/>
  <c r="Q25" i="1" s="1"/>
  <c r="P31" i="1"/>
  <c r="Q31" i="1" s="1"/>
  <c r="F32" i="5"/>
  <c r="C32" i="5"/>
  <c r="E32" i="5"/>
  <c r="D32" i="5"/>
  <c r="G32" i="5"/>
  <c r="I8" i="5"/>
  <c r="R9" i="1" s="1"/>
  <c r="T9" i="1" l="1"/>
  <c r="R34" i="1"/>
  <c r="S15" i="1" s="1"/>
  <c r="T15" i="1" s="1"/>
  <c r="F32" i="6"/>
  <c r="C32" i="6"/>
  <c r="G32" i="6"/>
  <c r="D32" i="6"/>
  <c r="E32" i="6"/>
  <c r="I8" i="6"/>
  <c r="U9" i="1" s="1"/>
  <c r="U34" i="1" l="1"/>
  <c r="V19" i="1" s="1"/>
  <c r="W19" i="1" s="1"/>
  <c r="W9" i="1"/>
  <c r="S19" i="1"/>
  <c r="T19" i="1" s="1"/>
  <c r="S11" i="1"/>
  <c r="T11" i="1" s="1"/>
  <c r="S29" i="1"/>
  <c r="T29" i="1" s="1"/>
  <c r="S27" i="1"/>
  <c r="T27" i="1" s="1"/>
  <c r="S25" i="1"/>
  <c r="T25" i="1" s="1"/>
  <c r="S31" i="1"/>
  <c r="T31" i="1" s="1"/>
  <c r="S17" i="1"/>
  <c r="T17" i="1" s="1"/>
  <c r="S21" i="1"/>
  <c r="T21" i="1" s="1"/>
  <c r="S23" i="1"/>
  <c r="T23" i="1" s="1"/>
  <c r="S13" i="1"/>
  <c r="T13" i="1" s="1"/>
  <c r="E9" i="9"/>
  <c r="E32" i="7"/>
  <c r="D32" i="7"/>
  <c r="D9" i="9"/>
  <c r="F9" i="9"/>
  <c r="F32" i="7"/>
  <c r="C9" i="9"/>
  <c r="C32" i="7"/>
  <c r="G32" i="7"/>
  <c r="G9" i="9"/>
  <c r="I8" i="7"/>
  <c r="X9" i="1" s="1"/>
  <c r="V23" i="1" l="1"/>
  <c r="W23" i="1" s="1"/>
  <c r="V27" i="1"/>
  <c r="W27" i="1" s="1"/>
  <c r="V25" i="1"/>
  <c r="W25" i="1" s="1"/>
  <c r="V31" i="1"/>
  <c r="W31" i="1" s="1"/>
  <c r="V21" i="1"/>
  <c r="W21" i="1" s="1"/>
  <c r="V13" i="1"/>
  <c r="W13" i="1" s="1"/>
  <c r="V15" i="1"/>
  <c r="W15" i="1" s="1"/>
  <c r="V17" i="1"/>
  <c r="W17" i="1" s="1"/>
  <c r="V11" i="1"/>
  <c r="W11" i="1" s="1"/>
  <c r="V29" i="1"/>
  <c r="W29" i="1" s="1"/>
  <c r="Z9" i="1"/>
  <c r="X34" i="1"/>
  <c r="Y13" i="1" l="1"/>
  <c r="Z13" i="1" s="1"/>
  <c r="Y17" i="1"/>
  <c r="Z17" i="1" s="1"/>
  <c r="Y23" i="1"/>
  <c r="Z23" i="1" s="1"/>
  <c r="Y21" i="1"/>
  <c r="Z21" i="1" s="1"/>
  <c r="Y11" i="1"/>
  <c r="Z11" i="1" s="1"/>
  <c r="Y27" i="1"/>
  <c r="Z27" i="1" s="1"/>
  <c r="Y25" i="1"/>
  <c r="Z25" i="1" s="1"/>
  <c r="Y19" i="1"/>
  <c r="Z19" i="1" s="1"/>
  <c r="Y29" i="1"/>
  <c r="Z29" i="1" s="1"/>
  <c r="Y15" i="1"/>
  <c r="Z15" i="1" s="1"/>
  <c r="Y31" i="1"/>
  <c r="Z31" i="1" s="1"/>
</calcChain>
</file>

<file path=xl/sharedStrings.xml><?xml version="1.0" encoding="utf-8"?>
<sst xmlns="http://schemas.openxmlformats.org/spreadsheetml/2006/main" count="1241" uniqueCount="290">
  <si>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</si>
  <si>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</si>
  <si>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</si>
  <si>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</si>
  <si>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</si>
  <si>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</si>
  <si>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</si>
  <si>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</si>
  <si>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</si>
  <si>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</si>
  <si>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</si>
  <si>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</si>
  <si>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</si>
  <si>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</si>
  <si>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</si>
  <si>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</si>
  <si>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</si>
  <si>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</si>
  <si>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</si>
  <si>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</si>
  <si>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</si>
  <si>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</si>
  <si>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</si>
  <si>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</si>
  <si>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</si>
  <si>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</si>
  <si>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</si>
  <si>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</si>
  <si>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</si>
  <si>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</si>
  <si>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</si>
  <si>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</si>
  <si>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</si>
  <si>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</si>
  <si>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</si>
  <si>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</si>
  <si>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</si>
  <si>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</si>
  <si>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</si>
  <si>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</si>
  <si>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</si>
  <si>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</si>
  <si>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</si>
  <si>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</si>
  <si>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</si>
  <si>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</si>
  <si>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</si>
  <si>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</si>
  <si>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</si>
  <si>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</si>
  <si>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</si>
  <si>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</si>
  <si>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</si>
  <si>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</si>
  <si>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</si>
  <si>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</si>
  <si>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</si>
  <si>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</si>
  <si>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</si>
  <si>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</si>
  <si>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</si>
  <si>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</si>
  <si>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</si>
  <si>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</si>
  <si>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</si>
  <si>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</si>
  <si>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</si>
  <si>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</si>
  <si>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</si>
  <si>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</si>
  <si>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</si>
  <si>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</si>
  <si>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</si>
  <si>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</si>
  <si>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</si>
  <si>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</si>
  <si>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</si>
  <si>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</si>
  <si>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Teilnehmer</t>
  </si>
  <si>
    <t>Pellekoorne, Gutsche, Lapp, Martschenko, Soboth, Stephan</t>
  </si>
  <si>
    <t>Pellekoorne, Stephan</t>
  </si>
  <si>
    <t>Sprintübersicht</t>
  </si>
  <si>
    <t>Pellekoorne, Gutsche, Martschenko</t>
  </si>
  <si>
    <t>Pellekoorne, Gutsche, Lapp, Martschenko, Stephan</t>
  </si>
  <si>
    <t>Pellekoorne, Gutsche, Lapp , Soboth, Stephan</t>
  </si>
  <si>
    <t>Assignee</t>
  </si>
  <si>
    <t>Pellekoorne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</si>
  <si>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</si>
  <si>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</si>
  <si>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</si>
  <si>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</si>
  <si>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</si>
  <si>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</si>
  <si>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</si>
  <si>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</si>
  <si>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</si>
  <si>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[Organisation] Vorbereitung Sprint-Planning 11.05.20</t>
  </si>
  <si>
    <t>Lapp, Martschenko, Stephan</t>
  </si>
  <si>
    <t>Gutsche</t>
  </si>
  <si>
    <t>Pellekoorne, Soboth</t>
  </si>
  <si>
    <t>Lapp</t>
  </si>
  <si>
    <t>Martschenko</t>
  </si>
  <si>
    <t>Soboth</t>
  </si>
  <si>
    <t>Stephan</t>
  </si>
  <si>
    <t>[Implementierung] Datenaufbereitung Wetter</t>
  </si>
  <si>
    <t>[Implementierung] Datum zu Wochentag</t>
  </si>
  <si>
    <t>[Entwurf] Aufbau des Wetterberichts</t>
  </si>
  <si>
    <t>[Implementierung] Datenbank Wetterbericht-Texte bzw. Wörter</t>
  </si>
  <si>
    <t>[Implementierung] Wetterberichtstext erstellen lassen</t>
  </si>
  <si>
    <t>[Entwurf] Grafiken erstellen</t>
  </si>
  <si>
    <t>[Testen] Wetter API implementieren</t>
  </si>
  <si>
    <t>[Entwurf] Grafiken überarbeiten</t>
  </si>
  <si>
    <t>[Testen] Datum zu Wochentag</t>
  </si>
  <si>
    <t>[Implementierung] Wettericons, Orte</t>
  </si>
  <si>
    <t>[Entwurf] Bugfix Wetterkarte</t>
  </si>
  <si>
    <t>[Implementierung] 3 Tages Vorhersage</t>
  </si>
  <si>
    <t>[Implementierung] 1 Tages Vorhersage</t>
  </si>
  <si>
    <t>[Testen] Länge einer Audiodatei</t>
  </si>
  <si>
    <t>[Implementierung] Visualisierung Wetterdaten</t>
  </si>
  <si>
    <t>[Recherche] Einarbeiten in GIMP</t>
  </si>
  <si>
    <t>[Implementierung] Fix Path Problem with Images</t>
  </si>
  <si>
    <t>[Organisation] Ordner Struktur</t>
  </si>
  <si>
    <t>[Implementierung] Wetter API implementieren</t>
  </si>
  <si>
    <t>[Organisation] Entwurf eines "Datenfluss-Diagramms"</t>
  </si>
  <si>
    <t>[Implementierung] Fehlende Dokumentation für Wetter-API-Funktionen hinzufügen</t>
  </si>
  <si>
    <t>[Organisation] Konzept für Tests</t>
  </si>
  <si>
    <t xml:space="preserve">[Recherche] Lizenzen/rechtliche Absicherung </t>
  </si>
  <si>
    <t>[Recherche] Einarbeiten in Gimp</t>
  </si>
  <si>
    <t>[Entwurf] Zustandsdiagram erstellen</t>
  </si>
  <si>
    <t>[Implementierung] Länge einer Audiodatei</t>
  </si>
  <si>
    <t>[Organisation] Lizenzhinweise für Grafiken</t>
  </si>
  <si>
    <t>[Organisation] Python Doko Generator</t>
  </si>
  <si>
    <t>[Organisation] Automatische Tests mit Docker</t>
  </si>
  <si>
    <t>[Organisation] Fehler in Github Actions Testing</t>
  </si>
  <si>
    <t>[Organisation] Python Code Style</t>
  </si>
  <si>
    <t>[Implementierung] Flask Server aufsetzen</t>
  </si>
  <si>
    <t>[Testen] Visualisierung Wetterdaten</t>
  </si>
  <si>
    <t>[Organisation] Python dependencies Organisieren</t>
  </si>
  <si>
    <t>[Testen] Datenbank Wetterbericht-Texte bzw. Wörter</t>
  </si>
  <si>
    <t>[Organisation] Statusbericht überarbeiten</t>
  </si>
  <si>
    <t>[Organisation] Lasten/Pflichtenheft überarbeiten</t>
  </si>
  <si>
    <t>[Organisation] Lasten/Pflichtenheft überarbeiten 2</t>
  </si>
  <si>
    <t>[Organisation] Lastenheft fertigstellen</t>
  </si>
  <si>
    <t>[Organisation] Vorbereitung Sprint-Planning 18.05.20</t>
  </si>
  <si>
    <t>[Implementierung] 1. Entwurf Video Erstellung</t>
  </si>
  <si>
    <t>[Organisation] Besprechung Images/Audio</t>
  </si>
  <si>
    <t>[Implementierung] Modul speech.py anlegen und date_time.py verschieben</t>
  </si>
  <si>
    <t>[Recherche] Weitere APIs für Statusbericht</t>
  </si>
  <si>
    <t>[Implementierung] Verknüpfung von generate_weatherforecast.yp mit weather.py</t>
  </si>
  <si>
    <t>[Implementierung] Besprechung</t>
  </si>
  <si>
    <t>[Implementierung] Besprechnung</t>
  </si>
  <si>
    <t>[Implementierung] Implementierung</t>
  </si>
  <si>
    <t>[Implementierung] Methoden implementieren</t>
  </si>
  <si>
    <t>[Implementierung] Visualisierung auf neue Struktur anpassen</t>
  </si>
  <si>
    <t>[Implementierung] Tests schreiben für Weather Visualization</t>
  </si>
  <si>
    <t>[Implementierung] Beispiel JSON Datei laden</t>
  </si>
  <si>
    <t xml:space="preserve">[Entwurf] Bildgrößen Icons ändern </t>
  </si>
  <si>
    <t>[Implementierung] Wochentag Angabe in 3 tages Vorhersage hinzufügen</t>
  </si>
  <si>
    <t>[Entwurf] Lizenshinweise auf Grafiken hinzufügen</t>
  </si>
  <si>
    <t>[Implementierung] Position der Min/Max Temperatur verbessern</t>
  </si>
  <si>
    <t>[Organisation] Issues erstellen</t>
  </si>
  <si>
    <t>[Implementierung] Wochentag-angabe-position je nach Tag optimieren</t>
  </si>
  <si>
    <t>[Implementierung] Wochentag angabe bei 1 tages Vorhersage hinzufügen</t>
  </si>
  <si>
    <t>[Implementierung] Fehler in processing/weather_visualization</t>
  </si>
  <si>
    <t>[Implementierung] Visualization an 5 Tages Struktur anpassen</t>
  </si>
  <si>
    <t>[Implementierung] Bugfix Date - &gt; Weekday</t>
  </si>
  <si>
    <t xml:space="preserve">[Implementierung] Fehler Linking funktioniert nicht unter windows </t>
  </si>
  <si>
    <t>[Testen] Restrukturierung des Projekts</t>
  </si>
  <si>
    <t>[Testen] Resourcen Utils</t>
  </si>
  <si>
    <t>[Testen] Wettervorhersagedaten für 5 Tage beziehen (anstelle von 4)</t>
  </si>
  <si>
    <t>[Implementierung] Restrukturierung des Projekts</t>
  </si>
  <si>
    <t>[Organisation] Überarbeitete Verzeichnisstruktur</t>
  </si>
  <si>
    <t>[Implementierung] Private config-Datei für unsere API-keys anlegen</t>
  </si>
  <si>
    <t>[Implementierung] Tests für apis.weather / preprocessing.weather</t>
  </si>
  <si>
    <t>[Implementierung] Tests für dictionary.py und statistical.py</t>
  </si>
  <si>
    <t>[Organisation] Neuen API-Key für weatherbit generieren</t>
  </si>
  <si>
    <t>[Implementierung] Anpassung der docstrings</t>
  </si>
  <si>
    <t>[Organisation] Zeit-API-Key erhalten</t>
  </si>
  <si>
    <t>[Entwurf] (vorläufiges) Mockup für das finale Lastenheft</t>
  </si>
  <si>
    <t>[Entwurf] Übersichts-Seite</t>
  </si>
  <si>
    <t>[Entwurf] Job-Erstellen-Seiten</t>
  </si>
  <si>
    <t>[Entwurf] Job-Einstellungen-Seite</t>
  </si>
  <si>
    <t>[Entwurf] Entwickler-Tools-Seite</t>
  </si>
  <si>
    <t>[Testen] Analytics Control</t>
  </si>
  <si>
    <t>[Entwurf] Wordcloud erstellen für Lastenheft</t>
  </si>
  <si>
    <t>[Implementierung] Resourcen Utils</t>
  </si>
  <si>
    <t>[Implementierung] Docstring Format anpassen</t>
  </si>
  <si>
    <t>[Entwurf] Mock-up überarbeiten</t>
  </si>
  <si>
    <t>[Implementierung] Analytics Control</t>
  </si>
  <si>
    <t>[Implementierung] Fehler in resource Module</t>
  </si>
  <si>
    <t>[Implementierung] Deprecation Warning in Util/dictionary</t>
  </si>
  <si>
    <t>[Organisation] Github Actions update</t>
  </si>
  <si>
    <t>[Implementierung] Fehler in Docker</t>
  </si>
  <si>
    <t>[Implementierung] Tests für Analytics Control Job Logik</t>
  </si>
  <si>
    <t>[Implementierung] Analytics Control Job Logik Docstrings</t>
  </si>
  <si>
    <t>[Implementierung] Weather Control an neue Strucktur anpassen</t>
  </si>
  <si>
    <t>[Implementierung] Analytics Control Main module</t>
  </si>
  <si>
    <t>[Testen] Pull Request Reviews</t>
  </si>
  <si>
    <t>[Organisation] Pflichtenheft überarbeiten</t>
  </si>
  <si>
    <t>[Organisation] Pflichtenheft fertigstellen</t>
  </si>
  <si>
    <t>[Entwurf] Grafiken für Ortsbezogenen Wetterbericht</t>
  </si>
  <si>
    <t>[Recherche] frontend Web-framework</t>
  </si>
  <si>
    <t>[Entwurf] Deutschland Grafiken anpassen</t>
  </si>
  <si>
    <t>[Organisation] Sprint-Planning 25.05.2020</t>
  </si>
  <si>
    <t>[Implementierung] Tests erstellen</t>
  </si>
  <si>
    <t>[Implementierung] Nur Städtenamen zur Auswahl</t>
  </si>
  <si>
    <t>[Implementierung] Speech für einzelne Stadt</t>
  </si>
  <si>
    <t>[Implementierung] Benötige Wetter Daten ändern</t>
  </si>
  <si>
    <t>[Organisation] Besprechung Aufbau Code zu Speech in Preprocessing/Processing</t>
  </si>
  <si>
    <t>[Implementierung] Code anpassen zu Speech in Preprocessing/Processing</t>
  </si>
  <si>
    <t>[Recherche] Vergleich Pico2Wave / gtts</t>
  </si>
  <si>
    <t>[Implementierung] Lückentext speech_single anpassen</t>
  </si>
  <si>
    <t>[Implementierung] Visualizazion + Audio vereinheitlichen/verbessern</t>
  </si>
  <si>
    <t xml:space="preserve">[Implementierung] Änderungen an Weather Visualizazion </t>
  </si>
  <si>
    <t>[Implementierung] Grundgerüst Ortsbezogener Wetterbericht</t>
  </si>
  <si>
    <t>[Implementierung] Ortsbezogener Wetterbericht 2 Tages Vorhersage Visualiesierung</t>
  </si>
  <si>
    <t>[Recherche] ffmpeg bildübergänge</t>
  </si>
  <si>
    <t>[Implementierung] Bessere Bildübergange in ffmpgeg umsetzen</t>
  </si>
  <si>
    <t>[Testen] Speicherort und umgang mit temp dateien ändern</t>
  </si>
  <si>
    <t>[Organisation] Twitter-Developer-Account beantragen</t>
  </si>
  <si>
    <t>[Implementierung] Private config-Datei erstellen und verwenden</t>
  </si>
  <si>
    <t>[Implementierung] Ausführung und Ausgabe externer Programme (v.a. ffmpeg) kontrollieren</t>
  </si>
  <si>
    <t>[Implementierung] Logging einbauen</t>
  </si>
  <si>
    <t>[Implementierung] logging in WeatherSteps und SingleWeatherSteps einbauen</t>
  </si>
  <si>
    <t>[Recherche] Wie genau bekommen wir die relevanten Daten von der Zeit-API?</t>
  </si>
  <si>
    <t>[Testen] Datenbank erstellen und einrichten</t>
  </si>
  <si>
    <t>[Implementierung] Tests erstellen für preprocessing &gt; weather</t>
  </si>
  <si>
    <t>[Implementierung] Speicherort und umgang mit temp dateien ändern</t>
  </si>
  <si>
    <t>[Implementierung] Pfad Fehler unter Windows in ffmpeg</t>
  </si>
  <si>
    <t xml:space="preserve">[Implementierung] Speech für einzelne Stadt </t>
  </si>
  <si>
    <t>[Recherche] Async api requests</t>
  </si>
  <si>
    <t>[Implementierung] Datenbank erstellen und einrichten</t>
  </si>
  <si>
    <t>[Entwurf] Datenbank Entwerfen</t>
  </si>
  <si>
    <t>[Testen] Pull Requests</t>
  </si>
  <si>
    <t>[Testen] Speech für einzelne Stadt</t>
  </si>
  <si>
    <t>[Implementierung] Anpassungen docstrings</t>
  </si>
  <si>
    <t>[Implementierung] Bildübergänge in Ortsbezogener Vorhersage</t>
  </si>
  <si>
    <t>[Implementierung] Deutschland Wetterbericht Bilder ändern</t>
  </si>
  <si>
    <t>Pellekoorne, Lapp, Martschenko, Stephan</t>
  </si>
  <si>
    <t>[Implementierung] Ortsbezogener Wetterbericht schrift anpassen</t>
  </si>
  <si>
    <t>[Implementierung] Zeit API Grundgerüst</t>
  </si>
  <si>
    <t xml:space="preserve">[Implementierung] Zeit API einbinden </t>
  </si>
  <si>
    <t>[Implementierung] User interface inizalisieren</t>
  </si>
  <si>
    <t>[Implementierung] Zeit API Speech erstellen</t>
  </si>
  <si>
    <t>[Implementierung] Flask Server auf Frontend anpassen</t>
  </si>
  <si>
    <t>[Organisation] Bericht aktualisieren</t>
  </si>
  <si>
    <t xml:space="preserve">[Recherche] React-Tutorial durcharbeiten </t>
  </si>
  <si>
    <t>[Implementierung] Frontend Header und Fetch</t>
  </si>
  <si>
    <t>[Implementierung] Frontend Themen-Auswahl-Seite</t>
  </si>
  <si>
    <t>[Recherche] FFMPEG Hardwareboost</t>
  </si>
  <si>
    <t>[Implementierung] FFMPEG Hardwareboost</t>
  </si>
  <si>
    <t>[Recherche] Verschiedene ffmpeh decoder/encoder</t>
  </si>
  <si>
    <t>[Implementierung] Frontend Seiten Logik</t>
  </si>
  <si>
    <t>[Organisation] Github Actions Beschreibung</t>
  </si>
  <si>
    <t>[Implementierung] Parameter-Auswahl-Seite</t>
  </si>
  <si>
    <t>[Organisation] Planung Zeit-API Einbindung</t>
  </si>
  <si>
    <t>[Implementierung] History Visualisation</t>
  </si>
  <si>
    <t>[Implementierung] Test schreiben für history - speech</t>
  </si>
  <si>
    <t>[Implementierung] Control auf Benutzung ohne frontend anpassen</t>
  </si>
  <si>
    <t>[Implementierung] Frontend Job-Liste</t>
  </si>
  <si>
    <t>[Entwurf] Wordclouds für Zeit API designen</t>
  </si>
  <si>
    <t>[Implementierung] Job-Auswahl-Seite hinzugefügt</t>
  </si>
  <si>
    <t>[Implementierung] Einarbeiten in React &amp; Material-UI</t>
  </si>
  <si>
    <t>[Implementierung] Jobliste grafisch erstellen</t>
  </si>
  <si>
    <t>[Implementierung] Handling Events hinzufügen</t>
  </si>
  <si>
    <t>[Implementierung] besprochene Änderungen implementieren</t>
  </si>
  <si>
    <t>[Entwurf] Besprechung</t>
  </si>
  <si>
    <t>Pellekoorne, Martschenko, Stephan</t>
  </si>
  <si>
    <t>Pellekoorne, Lapp, Stephan</t>
  </si>
  <si>
    <t>Pellekoorne, Gutsche, Lapp, Stephan</t>
  </si>
  <si>
    <t>Pellekoorne, Gutsche</t>
  </si>
  <si>
    <t>[Organisation] Struktur für Step Config dateien</t>
  </si>
  <si>
    <t xml:space="preserve">[Implementierung] Kommentare ergänzen (Weather-Single/ History) </t>
  </si>
  <si>
    <t>[Implementierung] Postleitzahl Anfragen</t>
  </si>
  <si>
    <t>[Entwurf] Besprechung generischer Aufbau Visualisierung</t>
  </si>
  <si>
    <t>[Implementierung] step-example.json für wetterberichte zusammenbauen (Images)</t>
  </si>
  <si>
    <t>[Implementierung] Variabler Output Ordner</t>
  </si>
  <si>
    <t>[Organisation] Besprechung Aufbau &amp; Implementierung step-example.json</t>
  </si>
  <si>
    <t>[Implementierung] Zeitplan-Auswahl-Seite (Struktur der Seite)</t>
  </si>
  <si>
    <t>[Implementierung] Zeitplan-Auswahl-Seite (Auswahl-Logik)</t>
  </si>
  <si>
    <t>[Implementierung] Fehler in Text Deutschland-Wetterbericht</t>
  </si>
  <si>
    <t>[Organisation] Bericht erweitern</t>
  </si>
  <si>
    <t>[Organisation] Sprint-Planning 08.06.2020</t>
  </si>
  <si>
    <t>[Implementierung] step-example.json für wetterberichte zusammenbauen (Speech)</t>
  </si>
  <si>
    <t>[Implementierung] Step config Pillow</t>
  </si>
  <si>
    <t>[Implementierung] Docker File updaten</t>
  </si>
  <si>
    <t>[Implementierung] Steps Config Transform (transform)</t>
  </si>
  <si>
    <t>[Implementierung] Steps Config Transform (stepsData)</t>
  </si>
  <si>
    <t>[Implementierung] Steps Config Transform (calculate)</t>
  </si>
  <si>
    <t>[Organisation] Excel-Datei Neue Mitglieder hinzufügen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</si>
</sst>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8CBAD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8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2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0" borderId="1" xfId="0" applyBorder="1"/>
    <xf numFmtId="0" fontId="9" fillId="0" borderId="30" xfId="0" applyFont="1" applyBorder="1"/>
    <xf numFmtId="0" fontId="8" fillId="0" borderId="18" xfId="0" applyFont="1" applyBorder="1"/>
    <xf numFmtId="0" fontId="0" fillId="2" borderId="1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14" fontId="0" fillId="0" borderId="40" xfId="0" applyNumberFormat="1" applyBorder="1"/>
    <xf numFmtId="14" fontId="0" fillId="0" borderId="0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0" xfId="0" applyBorder="1"/>
    <xf numFmtId="0" fontId="0" fillId="0" borderId="41" xfId="0" applyBorder="1"/>
    <xf numFmtId="14" fontId="0" fillId="0" borderId="43" xfId="0" applyNumberFormat="1" applyFill="1" applyBorder="1"/>
    <xf numFmtId="14" fontId="0" fillId="0" borderId="44" xfId="0" applyNumberFormat="1" applyFill="1" applyBorder="1"/>
    <xf numFmtId="0" fontId="0" fillId="0" borderId="0" xfId="0" applyFill="1" applyBorder="1"/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2" fillId="0" borderId="13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8" xfId="0" applyFont="1" applyFill="1" applyBorder="1" applyAlignment="1">
      <alignment horizontal="left"/>
    </xf>
    <xf numFmtId="21" fontId="0" fillId="0" borderId="9" xfId="0" applyNumberFormat="1" applyFont="1" applyBorder="1"/>
    <xf numFmtId="0" fontId="12" fillId="0" borderId="0" xfId="0" applyFont="1" applyBorder="1"/>
    <xf numFmtId="0" fontId="0" fillId="0" borderId="9" xfId="0" applyFont="1" applyBorder="1"/>
    <xf numFmtId="165" fontId="0" fillId="0" borderId="0" xfId="0" applyNumberFormat="1"/>
    <xf numFmtId="0" fontId="0" fillId="0" borderId="1" xfId="0" applyFont="1" applyFill="1" applyBorder="1" applyAlignment="1">
      <alignment horizontal="left"/>
    </xf>
    <xf numFmtId="0" fontId="0" fillId="0" borderId="51" xfId="0" applyBorder="1"/>
    <xf numFmtId="0" fontId="0" fillId="9" borderId="1" xfId="0" applyFill="1" applyBorder="1"/>
    <xf numFmtId="0" fontId="0" fillId="0" borderId="8" xfId="0" applyBorder="1"/>
    <xf numFmtId="21" fontId="0" fillId="0" borderId="9" xfId="0" applyNumberFormat="1" applyBorder="1"/>
    <xf numFmtId="0" fontId="0" fillId="10" borderId="1" xfId="0" applyFill="1" applyBorder="1"/>
    <xf numFmtId="0" fontId="0" fillId="10" borderId="1" xfId="0" applyFont="1" applyFill="1" applyBorder="1"/>
    <xf numFmtId="0" fontId="0" fillId="0" borderId="9" xfId="0" applyFont="1" applyFill="1" applyBorder="1" applyAlignment="1">
      <alignment horizontal="left"/>
    </xf>
    <xf numFmtId="0" fontId="0" fillId="0" borderId="9" xfId="0" applyBorder="1"/>
    <xf numFmtId="0" fontId="0" fillId="0" borderId="0" xfId="0" applyFont="1" applyBorder="1"/>
    <xf numFmtId="0" fontId="0" fillId="0" borderId="20" xfId="0" applyFont="1" applyBorder="1"/>
    <xf numFmtId="0" fontId="0" fillId="0" borderId="20" xfId="0" applyFont="1" applyFill="1" applyBorder="1" applyAlignment="1">
      <alignment horizontal="left"/>
    </xf>
    <xf numFmtId="0" fontId="0" fillId="9" borderId="15" xfId="0" applyFont="1" applyFill="1" applyBorder="1"/>
    <xf numFmtId="0" fontId="0" fillId="9" borderId="23" xfId="0" applyFont="1" applyFill="1" applyBorder="1"/>
    <xf numFmtId="0" fontId="0" fillId="9" borderId="16" xfId="0" applyFont="1" applyFill="1" applyBorder="1"/>
    <xf numFmtId="0" fontId="0" fillId="0" borderId="21" xfId="0" applyFont="1" applyFill="1" applyBorder="1" applyAlignment="1">
      <alignment horizontal="left"/>
    </xf>
    <xf numFmtId="14" fontId="0" fillId="0" borderId="53" xfId="0" applyNumberFormat="1" applyFont="1" applyBorder="1"/>
    <xf numFmtId="0" fontId="0" fillId="0" borderId="53" xfId="0" applyBorder="1"/>
    <xf numFmtId="0" fontId="0" fillId="0" borderId="53" xfId="0" applyFont="1" applyBorder="1"/>
    <xf numFmtId="0" fontId="0" fillId="0" borderId="28" xfId="0" applyFont="1" applyBorder="1"/>
    <xf numFmtId="0" fontId="0" fillId="0" borderId="29" xfId="0" applyFont="1" applyBorder="1"/>
    <xf numFmtId="0" fontId="0" fillId="6" borderId="15" xfId="0" applyFont="1" applyFill="1" applyBorder="1"/>
    <xf numFmtId="0" fontId="0" fillId="6" borderId="25" xfId="0" applyFont="1" applyFill="1" applyBorder="1"/>
    <xf numFmtId="0" fontId="0" fillId="6" borderId="16" xfId="0" applyFont="1" applyFill="1" applyBorder="1"/>
    <xf numFmtId="0" fontId="0" fillId="0" borderId="18" xfId="0" applyFont="1" applyFill="1" applyBorder="1" applyAlignment="1">
      <alignment horizontal="left"/>
    </xf>
    <xf numFmtId="0" fontId="0" fillId="6" borderId="23" xfId="0" applyFont="1" applyFill="1" applyBorder="1"/>
    <xf numFmtId="0" fontId="0" fillId="0" borderId="53" xfId="0" applyFont="1" applyFill="1" applyBorder="1" applyAlignment="1">
      <alignment horizontal="left"/>
    </xf>
    <xf numFmtId="0" fontId="0" fillId="0" borderId="52" xfId="0" applyFont="1" applyFill="1" applyBorder="1" applyAlignment="1">
      <alignment horizontal="left"/>
    </xf>
    <xf numFmtId="0" fontId="0" fillId="0" borderId="52" xfId="0" applyFont="1" applyBorder="1" applyAlignment="1">
      <alignment horizontal="fill"/>
    </xf>
    <xf numFmtId="0" fontId="0" fillId="0" borderId="35" xfId="0" applyFont="1" applyBorder="1" applyAlignment="1">
      <alignment horizontal="fill"/>
    </xf>
    <xf numFmtId="0" fontId="0" fillId="0" borderId="0" xfId="0" applyAlignment="1">
      <alignment horizontal="fill"/>
    </xf>
    <xf numFmtId="0" fontId="0" fillId="0" borderId="9" xfId="0" applyFont="1" applyBorder="1" applyAlignment="1">
      <alignment horizontal="right"/>
    </xf>
    <xf numFmtId="0" fontId="0" fillId="0" borderId="29" xfId="0" applyFont="1" applyBorder="1" applyAlignment="1">
      <alignment horizontal="right"/>
    </xf>
    <xf numFmtId="21" fontId="0" fillId="0" borderId="0" xfId="0" applyNumberFormat="1"/>
    <xf numFmtId="14" fontId="0" fillId="0" borderId="53" xfId="0" applyNumberFormat="1" applyBorder="1"/>
    <xf numFmtId="21" fontId="0" fillId="0" borderId="9" xfId="0" applyNumberFormat="1" applyBorder="1" applyAlignment="1">
      <alignment horizontal="right"/>
    </xf>
    <xf numFmtId="0" fontId="0" fillId="0" borderId="52" xfId="0" applyBorder="1" applyAlignment="1">
      <alignment horizontal="fill"/>
    </xf>
    <xf numFmtId="21" fontId="0" fillId="0" borderId="0" xfId="0" applyNumberFormat="1" applyBorder="1"/>
    <xf numFmtId="0" fontId="1" fillId="0" borderId="0" xfId="0" applyFont="1" applyAlignment="1">
      <alignment horizontal="fill"/>
    </xf>
    <xf numFmtId="0" fontId="0" fillId="0" borderId="0" xfId="0" applyAlignment="1">
      <alignment horizontal="center"/>
    </xf>
    <xf numFmtId="0" fontId="0" fillId="0" borderId="18" xfId="0" applyBorder="1"/>
    <xf numFmtId="0" fontId="0" fillId="10" borderId="54" xfId="0" applyFont="1" applyFill="1" applyBorder="1"/>
    <xf numFmtId="0" fontId="15" fillId="10" borderId="55" xfId="0" applyFont="1" applyFill="1" applyBorder="1"/>
    <xf numFmtId="46" fontId="0" fillId="0" borderId="0" xfId="0" applyNumberFormat="1" applyBorder="1"/>
    <xf numFmtId="0" fontId="6" fillId="10" borderId="56" xfId="0" applyFont="1" applyFill="1" applyBorder="1"/>
    <xf numFmtId="0" fontId="0" fillId="0" borderId="13" xfId="0" applyBorder="1"/>
    <xf numFmtId="0" fontId="0" fillId="0" borderId="18" xfId="0" applyBorder="1" applyAlignment="1">
      <alignment horizontal="fill"/>
    </xf>
    <xf numFmtId="21" fontId="0" fillId="0" borderId="18" xfId="0" applyNumberFormat="1" applyBorder="1" applyAlignment="1">
      <alignment horizontal="fill"/>
    </xf>
    <xf numFmtId="0" fontId="1" fillId="0" borderId="18" xfId="0" applyFont="1" applyBorder="1" applyAlignment="1">
      <alignment horizontal="fill"/>
    </xf>
    <xf numFmtId="21" fontId="0" fillId="0" borderId="18" xfId="0" applyNumberFormat="1" applyBorder="1"/>
    <xf numFmtId="0" fontId="15" fillId="9" borderId="55" xfId="0" applyFont="1" applyFill="1" applyBorder="1"/>
    <xf numFmtId="0" fontId="0" fillId="9" borderId="54" xfId="0" applyFont="1" applyFill="1" applyBorder="1"/>
    <xf numFmtId="0" fontId="6" fillId="9" borderId="57" xfId="0" applyFont="1" applyFill="1" applyBorder="1"/>
    <xf numFmtId="0" fontId="0" fillId="0" borderId="20" xfId="0" applyBorder="1"/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1" xfId="0" applyFill="1" applyBorder="1" applyAlignment="1">
      <alignment horizontal="fill"/>
    </xf>
    <xf numFmtId="46" fontId="2" fillId="0" borderId="24" xfId="0" applyNumberFormat="1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46" fontId="2" fillId="0" borderId="26" xfId="0" applyNumberFormat="1" applyFont="1" applyBorder="1" applyAlignment="1">
      <alignment horizontal="center"/>
    </xf>
    <xf numFmtId="164" fontId="9" fillId="0" borderId="30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164" fontId="9" fillId="0" borderId="31" xfId="0" applyNumberFormat="1" applyFont="1" applyBorder="1" applyAlignment="1">
      <alignment horizont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28" xfId="0" applyNumberForma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46" fontId="0" fillId="3" borderId="29" xfId="0" applyNumberFormat="1" applyFill="1" applyBorder="1" applyAlignment="1">
      <alignment horizontal="center" vertic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35" xfId="0" applyNumberForma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46" fontId="0" fillId="6" borderId="22" xfId="0" applyNumberFormat="1" applyFill="1" applyBorder="1" applyAlignment="1">
      <alignment horizontal="center" vertical="center"/>
    </xf>
    <xf numFmtId="46" fontId="0" fillId="6" borderId="8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19" xfId="0" applyNumberFormat="1" applyFill="1" applyBorder="1" applyAlignment="1">
      <alignment horizontal="center" vertical="center"/>
    </xf>
    <xf numFmtId="46" fontId="0" fillId="3" borderId="22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46" fontId="0" fillId="6" borderId="13" xfId="0" applyNumberFormat="1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3" borderId="13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46" fontId="0" fillId="3" borderId="38" xfId="0" applyNumberForma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4" fontId="7" fillId="0" borderId="45" xfId="0" applyNumberFormat="1" applyFont="1" applyBorder="1" applyAlignment="1">
      <alignment horizontal="center"/>
    </xf>
    <xf numFmtId="14" fontId="7" fillId="0" borderId="46" xfId="0" applyNumberFormat="1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14" fontId="0" fillId="0" borderId="34" xfId="0" applyNumberFormat="1" applyFill="1" applyBorder="1" applyAlignment="1">
      <alignment horizontal="center"/>
    </xf>
    <xf numFmtId="46" fontId="11" fillId="0" borderId="0" xfId="0" applyNumberFormat="1" applyFont="1" applyBorder="1" applyAlignment="1">
      <alignment horizont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7" fillId="0" borderId="6" xfId="0" applyFont="1" applyBorder="1" applyAlignment="1">
      <alignment horizont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3" borderId="8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6" fontId="0" fillId="3" borderId="1" xfId="0" applyNumberFormat="1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46" fontId="0" fillId="2" borderId="8" xfId="0" applyNumberForma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3" borderId="12" xfId="0" applyNumberFormat="1" applyFill="1" applyBorder="1" applyAlignment="1">
      <alignment horizontal="center" vertical="center"/>
    </xf>
    <xf numFmtId="46" fontId="0" fillId="2" borderId="12" xfId="0" applyNumberForma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46" fontId="0" fillId="2" borderId="58" xfId="0" applyNumberFormat="1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A$50" lockText="1" noThreeD="1"/>
</file>

<file path=xl/ctrlProps/ctrlProp2.xml><?xml version="1.0" encoding="utf-8"?>
<formControlPr xmlns="http://schemas.microsoft.com/office/spreadsheetml/2009/9/main" objectType="CheckBox" checked="Checked" fmlaLink="$A$51" lockText="1" noThreeD="1"/>
</file>

<file path=xl/ctrlProps/ctrlProp3.xml><?xml version="1.0" encoding="utf-8"?>
<formControlPr xmlns="http://schemas.microsoft.com/office/spreadsheetml/2009/9/main" objectType="CheckBox" checked="Checked" fmlaLink="$A$52" lockText="1" noThreeD="1"/>
</file>

<file path=xl/ctrlProps/ctrlProp4.xml><?xml version="1.0" encoding="utf-8"?>
<formControlPr xmlns="http://schemas.microsoft.com/office/spreadsheetml/2009/9/main" objectType="CheckBox" checked="Checked" fmlaLink="$A$53" lockText="1" noThreeD="1"/>
</file>

<file path=xl/ctrlProps/ctrlProp5.xml><?xml version="1.0" encoding="utf-8"?>
<formControlPr xmlns="http://schemas.microsoft.com/office/spreadsheetml/2009/9/main" objectType="CheckBox" checked="Checked" fmlaLink="$A$54" lockText="1" noThreeD="1"/>
</file>

<file path=xl/ctrlProps/ctrlProp6.xml><?xml version="1.0" encoding="utf-8"?>
<formControlPr xmlns="http://schemas.microsoft.com/office/spreadsheetml/2009/9/main" objectType="CheckBox" fmlaLink="$A$55" lockText="1" noThreeD="1"/>
</file>

<file path=xl/ctrlProps/ctrlProp7.xml><?xml version="1.0" encoding="utf-8"?>
<formControlPr xmlns="http://schemas.microsoft.com/office/spreadsheetml/2009/9/main" objectType="CheckBox" fmlaLink="$A$56" lockText="1" noThreeD="1"/>
</file>

<file path=xl/ctrlProps/ctrlProp8.xml><?xml version="1.0" encoding="utf-8"?>
<formControlPr xmlns="http://schemas.microsoft.com/office/spreadsheetml/2009/9/main" objectType="CheckBox" fmlaLink="$A$57" lockText="1" noThreeD="1"/>
</file>

<file path=xl/ctrlProps/ctrlProp9.xml><?xml version="1.0" encoding="utf-8"?>
<formControlPr xmlns="http://schemas.microsoft.com/office/spreadsheetml/2009/9/main" objectType="CheckBox" fmlaLink="$A$58" lockText="1" noThreeD="1"/>
</file>

<file path=xl/ctrlProps/ctrlProp10.xml><?xml version="1.0" encoding="utf-8"?>
<formControlPr xmlns="http://schemas.microsoft.com/office/spreadsheetml/2009/9/main" objectType="CheckBox" fmlaLink="$A$59" lockText="1" noThreeD="1"/>
</file>

<file path=xl/ctrlProps/ctrlProp11.xml><?xml version="1.0" encoding="utf-8"?>
<formControlPr xmlns="http://schemas.microsoft.com/office/spreadsheetml/2009/9/main" objectType="CheckBox" fmlaLink="$A$60" lockText="1" noThreeD="1"/>
</file>

<file path=xl/ctrlProps/ctrlProp12.xml><?xml version="1.0" encoding="utf-8"?>
<formControlPr xmlns="http://schemas.microsoft.com/office/spreadsheetml/2009/9/main" objectType="CheckBox" fmlaLink="$A$61" lockText="1" noThreeD="1"/>
</file>

<file path=xl/ctrlProps/ctrlProp13.xml><?xml version="1.0" encoding="utf-8"?>
<formControlPr xmlns="http://schemas.microsoft.com/office/spreadsheetml/2009/9/main" objectType="CheckBox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</xdr:row>
          <xdr:rowOff>19050</xdr:rowOff>
        </xdr:from>
        <xdr:to>
          <xdr:col>1</xdr:col>
          <xdr:colOff>1381125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1685925</xdr:colOff>
          <xdr:row>1</xdr:row>
          <xdr:rowOff>9525</xdr:rowOff>
        </xdr:from>
        <xdr:to>
          <xdr:col>1</xdr:col>
          <xdr:colOff>2619375</xdr:colOff>
          <xdr:row>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3</xdr:col>
          <xdr:colOff>428625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Anwenden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2"/>
  <sheetViews>
    <sheetView tabSelected="1" zoomScaleNormal="100" workbookViewId="0">
      <selection activeCell="D11" sqref="D11:D12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</cols>
  <sheetData>
    <row r="1" spans="1:34" ht="36" x14ac:dyDescent="0.55000000000000004">
      <c r="A1" s="169" t="s">
        <v>0</v>
      </c>
      <c r="B1" s="169"/>
      <c r="C1" s="169"/>
      <c r="D1" s="169"/>
      <c r="E1" s="169"/>
      <c r="F1" s="169"/>
      <c r="G1" s="169"/>
      <c r="H1" s="169"/>
      <c r="I1" s="169"/>
    </row>
    <row r="2" spans="1:34" ht="15.75" thickBot="1" x14ac:dyDescent="0.3">
      <c r="B2" s="1"/>
    </row>
    <row r="3" spans="1:34" ht="15.75" x14ac:dyDescent="0.25">
      <c r="A3" s="17" t="s">
        <v>9</v>
      </c>
      <c r="B3" s="17" t="s">
        <v>10</v>
      </c>
      <c r="H3" s="142" t="s">
        <v>42</v>
      </c>
      <c r="I3" s="134" t="s">
        <v>49</v>
      </c>
      <c r="J3" s="135"/>
      <c r="K3" s="135"/>
      <c r="L3" s="134" t="s">
        <v>50</v>
      </c>
      <c r="M3" s="135"/>
      <c r="N3" s="135"/>
      <c r="O3" s="134" t="s">
        <v>54</v>
      </c>
      <c r="P3" s="135"/>
      <c r="Q3" s="135"/>
      <c r="R3" s="134" t="s">
        <v>53</v>
      </c>
      <c r="S3" s="135"/>
      <c r="T3" s="136"/>
      <c r="U3" s="134" t="s">
        <v>52</v>
      </c>
      <c r="V3" s="135"/>
      <c r="W3" s="136"/>
      <c r="X3" s="134" t="s">
        <v>51</v>
      </c>
      <c r="Y3" s="135"/>
      <c r="Z3" s="136"/>
    </row>
    <row r="4" spans="1:34" x14ac:dyDescent="0.25">
      <c r="A4" s="9" t="s">
        <v>7</v>
      </c>
      <c r="B4" s="10">
        <v>42482</v>
      </c>
      <c r="C4" s="164" t="s">
        <v>11</v>
      </c>
      <c r="D4" s="166" t="s">
        <v>37</v>
      </c>
      <c r="E4" s="15"/>
      <c r="F4" s="15"/>
      <c r="G4" s="15"/>
      <c r="H4" s="143"/>
      <c r="I4" s="20" t="s">
        <v>38</v>
      </c>
      <c r="J4" s="19" t="s">
        <v>39</v>
      </c>
      <c r="K4" s="19" t="s">
        <v>40</v>
      </c>
      <c r="L4" s="20" t="s">
        <v>38</v>
      </c>
      <c r="M4" s="19" t="s">
        <v>39</v>
      </c>
      <c r="N4" s="19" t="s">
        <v>40</v>
      </c>
      <c r="O4" s="20" t="s">
        <v>38</v>
      </c>
      <c r="P4" s="19" t="s">
        <v>39</v>
      </c>
      <c r="Q4" s="19" t="s">
        <v>40</v>
      </c>
      <c r="R4" s="20" t="s">
        <v>38</v>
      </c>
      <c r="S4" s="19" t="s">
        <v>39</v>
      </c>
      <c r="T4" s="19" t="s">
        <v>40</v>
      </c>
      <c r="U4" s="20" t="s">
        <v>38</v>
      </c>
      <c r="V4" s="19" t="s">
        <v>39</v>
      </c>
      <c r="W4" s="19" t="s">
        <v>40</v>
      </c>
      <c r="X4" s="20" t="s">
        <v>38</v>
      </c>
      <c r="Y4" s="19" t="s">
        <v>39</v>
      </c>
      <c r="Z4" s="25" t="s">
        <v>40</v>
      </c>
    </row>
    <row r="5" spans="1:34" x14ac:dyDescent="0.25">
      <c r="A5" s="4" t="s">
        <v>8</v>
      </c>
      <c r="B5" s="5">
        <v>42486</v>
      </c>
      <c r="C5" s="163"/>
      <c r="D5" s="167"/>
      <c r="E5" s="29"/>
      <c r="F5" s="30"/>
      <c r="G5" s="31"/>
      <c r="H5" s="153"/>
      <c r="I5" s="125">
        <f>Pellekoorne!I4</f>
        <v>0.66666666666666663</v>
      </c>
      <c r="J5" s="127">
        <f>IF(A49=FALSE,I33/C35,I33/14)</f>
        <v>0.8035714285714286</v>
      </c>
      <c r="K5" s="137">
        <f>ROUNDDOWN(J5-I5,6)</f>
        <v>0.136904</v>
      </c>
      <c r="L5" s="125">
        <f>Gutsche!I4</f>
        <v>0.75694444444444442</v>
      </c>
      <c r="M5" s="127">
        <f>IF(A49=FALSE,L33/C35,L33/14)</f>
        <v>0.8035714285714286</v>
      </c>
      <c r="N5" s="137">
        <f>ROUNDDOWN(M5-L5,6)</f>
        <v>4.6626000000000001E-2</v>
      </c>
      <c r="O5" s="125">
        <f>Lapp!I4</f>
        <v>0.625</v>
      </c>
      <c r="P5" s="127">
        <f>IF(A49=FALSE,O33/C35,O33/14)</f>
        <v>0.8035714285714286</v>
      </c>
      <c r="Q5" s="137">
        <f t="shared" ref="Q5" si="0">ROUNDDOWN(P5-O5,6)</f>
        <v>0.17857100000000001</v>
      </c>
      <c r="R5" s="125">
        <f>Martschenko!I4</f>
        <v>0.5625</v>
      </c>
      <c r="S5" s="127">
        <f>IF(A49=FALSE,R33/C35,R33/14)</f>
        <v>0.8035714285714286</v>
      </c>
      <c r="T5" s="129">
        <f t="shared" ref="T5" si="1">ROUNDDOWN(S5-R5,6)</f>
        <v>0.24107100000000001</v>
      </c>
      <c r="U5" s="125">
        <f>Soboth!I4</f>
        <v>0.5</v>
      </c>
      <c r="V5" s="127">
        <f>IF(A49=FALSE,U33/C35,U33/14)</f>
        <v>0.8035714285714286</v>
      </c>
      <c r="W5" s="129">
        <f t="shared" ref="W5" si="2">ROUNDDOWN(V5-U5,6)</f>
        <v>0.30357099999999998</v>
      </c>
      <c r="X5" s="125">
        <f>Stephan!I4</f>
        <v>0.52083333333333337</v>
      </c>
      <c r="Y5" s="127">
        <f>IF(A49=FALSE,X33/C35,X33/14)</f>
        <v>0.8035714285714286</v>
      </c>
      <c r="Z5" s="129">
        <f t="shared" ref="Z5" si="3">ROUNDDOWN(Y5-X5,6)</f>
        <v>0.28273799999999999</v>
      </c>
    </row>
    <row r="6" spans="1:34" x14ac:dyDescent="0.25">
      <c r="A6" s="11" t="s">
        <v>7</v>
      </c>
      <c r="B6" s="12">
        <v>42519</v>
      </c>
      <c r="C6" s="164" t="s">
        <v>12</v>
      </c>
      <c r="D6" s="168"/>
      <c r="E6" s="26"/>
      <c r="F6" s="27"/>
      <c r="G6" s="28"/>
      <c r="H6" s="153"/>
      <c r="I6" s="126"/>
      <c r="J6" s="128"/>
      <c r="K6" s="138"/>
      <c r="L6" s="126"/>
      <c r="M6" s="128"/>
      <c r="N6" s="138"/>
      <c r="O6" s="126"/>
      <c r="P6" s="128"/>
      <c r="Q6" s="138"/>
      <c r="R6" s="126"/>
      <c r="S6" s="128"/>
      <c r="T6" s="130"/>
      <c r="U6" s="126"/>
      <c r="V6" s="128"/>
      <c r="W6" s="130"/>
      <c r="X6" s="126"/>
      <c r="Y6" s="128"/>
      <c r="Z6" s="130"/>
    </row>
    <row r="7" spans="1:34" ht="15.75" thickBot="1" x14ac:dyDescent="0.3">
      <c r="A7" s="6" t="s">
        <v>8</v>
      </c>
      <c r="B7" s="6">
        <v>42493</v>
      </c>
      <c r="C7" s="165"/>
      <c r="D7" s="158" t="s">
        <v>1</v>
      </c>
      <c r="E7" s="149" t="s">
        <v>35</v>
      </c>
      <c r="F7" s="150"/>
      <c r="G7" s="31"/>
      <c r="H7" s="151"/>
      <c r="I7" s="119">
        <f>Pellekoorne!I6</f>
        <v>0.86458333333333326</v>
      </c>
      <c r="J7" s="121">
        <f>IF(A50=FALSE,I34/C35,(I33-I5)/13)</f>
        <v>0.8141025641025641</v>
      </c>
      <c r="K7" s="139">
        <f t="shared" ref="K7" si="4">J7-I7</f>
        <v>-5.0480769230769162E-2</v>
      </c>
      <c r="L7" s="119">
        <f>Gutsche!I6</f>
        <v>0.65833333333333333</v>
      </c>
      <c r="M7" s="121">
        <f>IF(A50=FALSE,L34/C35,(L33-L5)/13)</f>
        <v>0.80715811965811968</v>
      </c>
      <c r="N7" s="139">
        <f t="shared" ref="N7" si="5">M7-L7</f>
        <v>0.14882478632478635</v>
      </c>
      <c r="O7" s="119">
        <f>Lapp!I6</f>
        <v>0.85763888888888895</v>
      </c>
      <c r="P7" s="121">
        <f>IF(A50=FALSE,O34/C35,(O33-O5)/13)</f>
        <v>0.81730769230769229</v>
      </c>
      <c r="Q7" s="139">
        <f t="shared" ref="Q7" si="6">P7-O7</f>
        <v>-4.033119658119666E-2</v>
      </c>
      <c r="R7" s="119">
        <f>Martschenko!I6</f>
        <v>0.48611111111111105</v>
      </c>
      <c r="S7" s="121">
        <f>IF(A50=FALSE,R34/C35,(R33-R5)/13)</f>
        <v>0.82211538461538458</v>
      </c>
      <c r="T7" s="123">
        <f t="shared" ref="T7" si="7">S7-R7</f>
        <v>0.33600427350427353</v>
      </c>
      <c r="U7" s="119">
        <f>Soboth!I6</f>
        <v>0.54166666666666674</v>
      </c>
      <c r="V7" s="121">
        <f>IF(A50=FALSE,U34/C35,(U33-U5)/13)</f>
        <v>0.82692307692307687</v>
      </c>
      <c r="W7" s="123">
        <f t="shared" ref="W7" si="8">V7-U7</f>
        <v>0.28525641025641013</v>
      </c>
      <c r="X7" s="119">
        <f>Stephan!I6</f>
        <v>0.69374999999999987</v>
      </c>
      <c r="Y7" s="121">
        <f>IF(A50=FALSE,X34/C35,(X33-X5)/13)</f>
        <v>0.82532051282051277</v>
      </c>
      <c r="Z7" s="123">
        <f t="shared" ref="Z7" si="9">Y7-X7</f>
        <v>0.13157051282051291</v>
      </c>
    </row>
    <row r="8" spans="1:34" x14ac:dyDescent="0.25">
      <c r="A8" s="9" t="s">
        <v>7</v>
      </c>
      <c r="B8" s="10">
        <v>42496</v>
      </c>
      <c r="C8" s="162" t="s">
        <v>13</v>
      </c>
      <c r="D8" s="158"/>
      <c r="E8" s="32"/>
      <c r="F8" s="2"/>
      <c r="G8" s="33"/>
      <c r="H8" s="151"/>
      <c r="I8" s="131"/>
      <c r="J8" s="132"/>
      <c r="K8" s="140"/>
      <c r="L8" s="131"/>
      <c r="M8" s="132"/>
      <c r="N8" s="140"/>
      <c r="O8" s="131"/>
      <c r="P8" s="132"/>
      <c r="Q8" s="140"/>
      <c r="R8" s="131"/>
      <c r="S8" s="132"/>
      <c r="T8" s="133"/>
      <c r="U8" s="131"/>
      <c r="V8" s="132"/>
      <c r="W8" s="133"/>
      <c r="X8" s="131"/>
      <c r="Y8" s="132"/>
      <c r="Z8" s="133"/>
    </row>
    <row r="9" spans="1:34" x14ac:dyDescent="0.25">
      <c r="A9" s="4" t="s">
        <v>8</v>
      </c>
      <c r="B9" s="5">
        <v>42500</v>
      </c>
      <c r="C9" s="163"/>
      <c r="D9" s="159" t="s">
        <v>2</v>
      </c>
      <c r="E9" s="29"/>
      <c r="F9" s="34"/>
      <c r="G9" s="35"/>
      <c r="H9" s="154"/>
      <c r="I9" s="125">
        <f>Pellekoorne!I8</f>
        <v>0.6923611111111112</v>
      </c>
      <c r="J9" s="127">
        <f>IF(A51=FALSE,I34/C35,(I33-I5-I7)/12)</f>
        <v>0.80989583333333337</v>
      </c>
      <c r="K9" s="137">
        <f t="shared" ref="K9" si="10">J9-I9</f>
        <v>0.11753472222222217</v>
      </c>
      <c r="L9" s="125">
        <f>Gutsche!I8</f>
        <v>0.69930555555555562</v>
      </c>
      <c r="M9" s="127">
        <f>IF(A51=FALSE,L34/C35,(L33-L5-L7)/12)</f>
        <v>0.81956018518518514</v>
      </c>
      <c r="N9" s="137">
        <f t="shared" ref="N9" si="11">M9-L9</f>
        <v>0.12025462962962952</v>
      </c>
      <c r="O9" s="125">
        <f>Lapp!I8</f>
        <v>0.87152777777777779</v>
      </c>
      <c r="P9" s="127">
        <f>IF(A51=FALSE,O34/C35,(O33-O5-O7)/12)</f>
        <v>0.81394675925925919</v>
      </c>
      <c r="Q9" s="137">
        <f t="shared" ref="Q9" si="12">P9-O9</f>
        <v>-5.7581018518518601E-2</v>
      </c>
      <c r="R9" s="125">
        <f>Martschenko!I8</f>
        <v>1.0222222222222224</v>
      </c>
      <c r="S9" s="127">
        <f>IF(A51=FALSE,R34/C35,(R33-R5-R7)/12)</f>
        <v>0.85011574074074081</v>
      </c>
      <c r="T9" s="129">
        <f t="shared" ref="T9" si="13">S9-R9</f>
        <v>-0.17210648148148155</v>
      </c>
      <c r="U9" s="125">
        <f>Soboth!I8</f>
        <v>0.46180555555555552</v>
      </c>
      <c r="V9" s="127">
        <f>IF(A51=FALSE,U34/C35,(U33-U5-U7)/12)</f>
        <v>0.85069444444444453</v>
      </c>
      <c r="W9" s="129">
        <f t="shared" ref="W9" si="14">V9-U9</f>
        <v>0.38888888888888901</v>
      </c>
      <c r="X9" s="125">
        <f>Stephan!I8</f>
        <v>0.75138888888888888</v>
      </c>
      <c r="Y9" s="127">
        <f>IF(A51=FALSE,X34/C35,(X33-X5-X7)/12)</f>
        <v>0.83628472222222217</v>
      </c>
      <c r="Z9" s="129">
        <f t="shared" ref="Z9" si="15">Y9-X9</f>
        <v>8.4895833333333282E-2</v>
      </c>
    </row>
    <row r="10" spans="1:34" x14ac:dyDescent="0.25">
      <c r="A10" s="9" t="s">
        <v>7</v>
      </c>
      <c r="B10" s="12">
        <v>42503</v>
      </c>
      <c r="C10" s="164" t="s">
        <v>14</v>
      </c>
      <c r="D10" s="159"/>
      <c r="E10" s="32"/>
      <c r="F10" s="2"/>
      <c r="G10" s="33"/>
      <c r="H10" s="154"/>
      <c r="I10" s="126"/>
      <c r="J10" s="128"/>
      <c r="K10" s="138"/>
      <c r="L10" s="126"/>
      <c r="M10" s="128"/>
      <c r="N10" s="138"/>
      <c r="O10" s="126"/>
      <c r="P10" s="128"/>
      <c r="Q10" s="138"/>
      <c r="R10" s="126"/>
      <c r="S10" s="128"/>
      <c r="T10" s="130"/>
      <c r="U10" s="126"/>
      <c r="V10" s="128"/>
      <c r="W10" s="130"/>
      <c r="X10" s="126"/>
      <c r="Y10" s="128"/>
      <c r="Z10" s="130"/>
    </row>
    <row r="11" spans="1:34" ht="15.75" thickBot="1" x14ac:dyDescent="0.3">
      <c r="A11" s="7" t="s">
        <v>8</v>
      </c>
      <c r="B11" s="6">
        <v>42507</v>
      </c>
      <c r="C11" s="165"/>
      <c r="D11" s="158" t="s">
        <v>3</v>
      </c>
      <c r="E11" s="147" t="s">
        <v>36</v>
      </c>
      <c r="F11" s="148"/>
      <c r="G11" s="31"/>
      <c r="H11" s="151"/>
      <c r="I11" s="119">
        <f>Pellekoorne!I10</f>
        <v>0.67708333333333337</v>
      </c>
      <c r="J11" s="121">
        <f>IF(A52=FALSE,I34/C35,(I33-I5-I7-I9)/11)</f>
        <v>0.82058080808080802</v>
      </c>
      <c r="K11" s="139">
        <f t="shared" ref="K11" si="16">J11-I11</f>
        <v>0.14349747474747465</v>
      </c>
      <c r="L11" s="119">
        <f>Gutsche!I10</f>
        <v>0.56666666666666665</v>
      </c>
      <c r="M11" s="121">
        <f>IF(A52=FALSE,L34/C35,(L33-L5-L7-L9)/11)</f>
        <v>0.8304924242424242</v>
      </c>
      <c r="N11" s="139">
        <f t="shared" ref="N11" si="17">M11-L11</f>
        <v>0.26382575757575755</v>
      </c>
      <c r="O11" s="119">
        <f>Lapp!I10</f>
        <v>0.73263888888888884</v>
      </c>
      <c r="P11" s="121">
        <f>IF(A52=FALSE,O34/C35,(O33-O5-O7-O9)/11)</f>
        <v>0.8087121212121211</v>
      </c>
      <c r="Q11" s="139">
        <f t="shared" ref="Q11" si="18">P11-O11</f>
        <v>7.6073232323232265E-2</v>
      </c>
      <c r="R11" s="119">
        <f>Martschenko!I10</f>
        <v>0.50347222222222221</v>
      </c>
      <c r="S11" s="121">
        <f>IF(A52=FALSE,R34/C35,(R33-R5-R7-R9)/11)</f>
        <v>0.83446969696969697</v>
      </c>
      <c r="T11" s="123">
        <f t="shared" ref="T11" si="19">S11-R11</f>
        <v>0.33099747474747476</v>
      </c>
      <c r="U11" s="119">
        <f>Soboth!I10</f>
        <v>0.63194444444444442</v>
      </c>
      <c r="V11" s="121">
        <f>IF(A52=FALSE,U34/C35,(U33-U5-U7-U9)/11)</f>
        <v>0.88604797979797989</v>
      </c>
      <c r="W11" s="123">
        <f t="shared" ref="W11" si="20">V11-U11</f>
        <v>0.25410353535353547</v>
      </c>
      <c r="X11" s="119">
        <f>Stephan!I10</f>
        <v>0.81527777777777777</v>
      </c>
      <c r="Y11" s="121">
        <f>IF(A52=FALSE,X34/C35,(X33-X5-X7-X9)/11)</f>
        <v>0.84400252525252528</v>
      </c>
      <c r="Z11" s="123">
        <f t="shared" ref="Z11" si="21">Y11-X11</f>
        <v>2.8724747474747514E-2</v>
      </c>
    </row>
    <row r="12" spans="1:34" x14ac:dyDescent="0.25">
      <c r="A12" s="9" t="s">
        <v>7</v>
      </c>
      <c r="B12" s="10">
        <v>42510</v>
      </c>
      <c r="C12" s="162" t="s">
        <v>15</v>
      </c>
      <c r="D12" s="158"/>
      <c r="E12" s="32"/>
      <c r="F12" s="2"/>
      <c r="G12" s="33"/>
      <c r="H12" s="151"/>
      <c r="I12" s="131"/>
      <c r="J12" s="132"/>
      <c r="K12" s="140"/>
      <c r="L12" s="131"/>
      <c r="M12" s="132"/>
      <c r="N12" s="140"/>
      <c r="O12" s="131"/>
      <c r="P12" s="132"/>
      <c r="Q12" s="140"/>
      <c r="R12" s="131"/>
      <c r="S12" s="132"/>
      <c r="T12" s="133"/>
      <c r="U12" s="131"/>
      <c r="V12" s="132"/>
      <c r="W12" s="133"/>
      <c r="X12" s="131"/>
      <c r="Y12" s="132"/>
      <c r="Z12" s="133"/>
    </row>
    <row r="13" spans="1:34" x14ac:dyDescent="0.25">
      <c r="A13" s="4" t="s">
        <v>8</v>
      </c>
      <c r="B13" s="5">
        <v>42514</v>
      </c>
      <c r="C13" s="163"/>
      <c r="D13" s="159" t="s">
        <v>4</v>
      </c>
      <c r="E13" s="29"/>
      <c r="F13" s="30"/>
      <c r="G13" s="31"/>
      <c r="H13" s="151"/>
      <c r="I13" s="125">
        <f>Pellekoorne!I12</f>
        <v>0.76180555555555562</v>
      </c>
      <c r="J13" s="127">
        <f>IF(A53=FALSE,I34/C35,(I33-I5-I7-I9-I11)/10)</f>
        <v>0.83493055555555551</v>
      </c>
      <c r="K13" s="137">
        <f t="shared" ref="K13" si="22">J13-I13</f>
        <v>7.3124999999999885E-2</v>
      </c>
      <c r="L13" s="125">
        <f>Gutsche!I12</f>
        <v>0.5131944444444444</v>
      </c>
      <c r="M13" s="127">
        <f>IF(A54=FALSE,L34/C35,(L33-L5-L7-L9-L11)/10)</f>
        <v>0.85687499999999994</v>
      </c>
      <c r="N13" s="137">
        <f t="shared" ref="N13" si="23">M13-L13</f>
        <v>0.34368055555555554</v>
      </c>
      <c r="O13" s="125">
        <f>Lapp!I12</f>
        <v>0.77916666666666679</v>
      </c>
      <c r="P13" s="127">
        <f>IF(A53=FALSE,O34/C35,(O33-O5-O7-O9-O11)/10)</f>
        <v>0.81631944444444426</v>
      </c>
      <c r="Q13" s="137">
        <f t="shared" ref="Q13" si="24">P13-O13</f>
        <v>3.7152777777777479E-2</v>
      </c>
      <c r="R13" s="125">
        <f>Martschenko!I12</f>
        <v>0.59513888888888888</v>
      </c>
      <c r="S13" s="127">
        <f>IF(A53=FALSE,R34/C35,(R33-R5-R7-R9-R11)/10)</f>
        <v>0.86756944444444462</v>
      </c>
      <c r="T13" s="129">
        <f t="shared" ref="T13" si="25">S13-R13</f>
        <v>0.27243055555555573</v>
      </c>
      <c r="U13" s="125">
        <f>Soboth!I12</f>
        <v>0.40277777777777779</v>
      </c>
      <c r="V13" s="127">
        <f>IF(A53=FALSE,U34/C35,(U33-U5-U7-U9-U11)/10)</f>
        <v>0.91145833333333337</v>
      </c>
      <c r="W13" s="129">
        <f t="shared" ref="W13" si="26">V13-U13</f>
        <v>0.50868055555555558</v>
      </c>
      <c r="X13" s="125">
        <f>Stephan!I12</f>
        <v>0.56944444444444442</v>
      </c>
      <c r="Y13" s="127">
        <f>IF(A53=FALSE,X34/C35,(X33-X5-X7-X9-X11)/10)</f>
        <v>0.84687500000000004</v>
      </c>
      <c r="Z13" s="129">
        <f t="shared" ref="Z13" si="27">Y13-X13</f>
        <v>0.27743055555555562</v>
      </c>
    </row>
    <row r="14" spans="1:34" x14ac:dyDescent="0.25">
      <c r="A14" s="9" t="s">
        <v>7</v>
      </c>
      <c r="B14" s="12">
        <v>42517</v>
      </c>
      <c r="C14" s="164" t="s">
        <v>16</v>
      </c>
      <c r="D14" s="159"/>
      <c r="E14" s="32"/>
      <c r="F14" s="2"/>
      <c r="G14" s="33"/>
      <c r="H14" s="151"/>
      <c r="I14" s="126"/>
      <c r="J14" s="128"/>
      <c r="K14" s="138"/>
      <c r="L14" s="126"/>
      <c r="M14" s="128"/>
      <c r="N14" s="138"/>
      <c r="O14" s="126"/>
      <c r="P14" s="128"/>
      <c r="Q14" s="138"/>
      <c r="R14" s="126"/>
      <c r="S14" s="128"/>
      <c r="T14" s="130"/>
      <c r="U14" s="126"/>
      <c r="V14" s="128"/>
      <c r="W14" s="130"/>
      <c r="X14" s="126"/>
      <c r="Y14" s="128"/>
      <c r="Z14" s="130"/>
    </row>
    <row r="15" spans="1:34" x14ac:dyDescent="0.25">
      <c r="A15" s="5" t="s">
        <v>8</v>
      </c>
      <c r="B15" s="13">
        <v>42521</v>
      </c>
      <c r="C15" s="163"/>
      <c r="D15" s="158" t="s">
        <v>5</v>
      </c>
      <c r="E15" s="29"/>
      <c r="F15" s="30"/>
      <c r="G15" s="31"/>
      <c r="H15" s="151"/>
      <c r="I15" s="119">
        <f>Pellekoorne!I14</f>
        <v>0.54166666666666663</v>
      </c>
      <c r="J15" s="121">
        <f>IF(A54=FALSE,I34/C35,(I33-I5-I7-I9-I11-I13)/9)</f>
        <v>0.84305555555555545</v>
      </c>
      <c r="K15" s="139">
        <f t="shared" ref="K15" si="28">J15-I15</f>
        <v>0.30138888888888882</v>
      </c>
      <c r="L15" s="119">
        <f>Gutsche!I14</f>
        <v>0.53125</v>
      </c>
      <c r="M15" s="121">
        <f>IF(A56=FALSE,L34/C35,(L33-L5-L7-L9-L11-L13)/9)</f>
        <v>0.94053819444444442</v>
      </c>
      <c r="N15" s="139">
        <f t="shared" ref="N15" si="29">M15-L15</f>
        <v>0.40928819444444442</v>
      </c>
      <c r="O15" s="119">
        <f>Lapp!I14</f>
        <v>0.71874999999999989</v>
      </c>
      <c r="P15" s="121">
        <f>IF(A54=FALSE,O34/C35,(O33-O5-O7-O9-O11-O13)/9)</f>
        <v>0.82044753086419731</v>
      </c>
      <c r="Q15" s="139">
        <f t="shared" ref="Q15" si="30">P15-O15</f>
        <v>0.10169753086419742</v>
      </c>
      <c r="R15" s="119">
        <f>Martschenko!I14</f>
        <v>0.40625</v>
      </c>
      <c r="S15" s="121">
        <f>IF(A54=FALSE,R34/C35,(R33-R5-R7-R9-R11-R13)/9)</f>
        <v>0.8978395061728397</v>
      </c>
      <c r="T15" s="123">
        <f t="shared" ref="T15" si="31">S15-R15</f>
        <v>0.4915895061728397</v>
      </c>
      <c r="U15" s="119">
        <f>Soboth!I14</f>
        <v>3.125E-2</v>
      </c>
      <c r="V15" s="121">
        <f>IF(A54=FALSE,U34/C35,(U33-U5-U7-U9-U11-U13)/9)</f>
        <v>0.96797839506172834</v>
      </c>
      <c r="W15" s="123">
        <f t="shared" ref="W15" si="32">V15-U15</f>
        <v>0.93672839506172834</v>
      </c>
      <c r="X15" s="119">
        <f>Stephan!I14</f>
        <v>0.88611111111111107</v>
      </c>
      <c r="Y15" s="121">
        <f>IF(A54=FALSE,X34/C35,(X33-X5-X7-X9-X11-X13)/9)</f>
        <v>0.87770061728395055</v>
      </c>
      <c r="Z15" s="123">
        <f t="shared" ref="Z15" si="33">Y15-X15</f>
        <v>-8.4104938271605256E-3</v>
      </c>
    </row>
    <row r="16" spans="1:34" x14ac:dyDescent="0.25">
      <c r="A16" s="9" t="s">
        <v>7</v>
      </c>
      <c r="B16" s="10">
        <v>42524</v>
      </c>
      <c r="C16" s="164" t="s">
        <v>17</v>
      </c>
      <c r="D16" s="158"/>
      <c r="E16" s="32"/>
      <c r="F16" s="2"/>
      <c r="G16" s="33"/>
      <c r="H16" s="151"/>
      <c r="I16" s="131"/>
      <c r="J16" s="132"/>
      <c r="K16" s="140"/>
      <c r="L16" s="131"/>
      <c r="M16" s="132"/>
      <c r="N16" s="140"/>
      <c r="O16" s="131"/>
      <c r="P16" s="132"/>
      <c r="Q16" s="140"/>
      <c r="R16" s="131"/>
      <c r="S16" s="132"/>
      <c r="T16" s="133"/>
      <c r="U16" s="131"/>
      <c r="V16" s="132"/>
      <c r="W16" s="133"/>
      <c r="X16" s="131"/>
      <c r="Y16" s="132"/>
      <c r="Z16" s="133"/>
      <c r="AA16" s="1"/>
      <c r="AB16" s="1"/>
      <c r="AC16" s="1"/>
      <c r="AD16" s="1"/>
      <c r="AE16" s="1"/>
      <c r="AF16" s="1"/>
      <c r="AG16" s="1"/>
      <c r="AH16" s="1"/>
    </row>
    <row r="17" spans="1:26" x14ac:dyDescent="0.25">
      <c r="A17" s="4" t="s">
        <v>8</v>
      </c>
      <c r="B17" s="13">
        <v>42528</v>
      </c>
      <c r="C17" s="163"/>
      <c r="D17" s="159" t="s">
        <v>6</v>
      </c>
      <c r="E17" s="29"/>
      <c r="F17" s="30"/>
      <c r="G17" s="31"/>
      <c r="H17" s="151"/>
      <c r="I17" s="125">
        <f>Pellekoorne!I16</f>
        <v>0</v>
      </c>
      <c r="J17" s="127">
        <f>IF(A55=FALSE,I34/C35,(I33-I5-I7-I9-I11-I13-I15)/8)</f>
        <v>0.88072916666666645</v>
      </c>
      <c r="K17" s="137">
        <f t="shared" ref="K17" si="34">J17-I17</f>
        <v>0.88072916666666645</v>
      </c>
      <c r="L17" s="125">
        <f>Gutsche!I16</f>
        <v>0</v>
      </c>
      <c r="M17" s="127">
        <f>IF(A58=FALSE,L34/C35,(L33-L5-L7-L9-L11-L13-L15)/8)</f>
        <v>0.94053819444444442</v>
      </c>
      <c r="N17" s="137">
        <f t="shared" ref="N17" si="35">M17-L17</f>
        <v>0.94053819444444442</v>
      </c>
      <c r="O17" s="125">
        <f>Lapp!I16</f>
        <v>0</v>
      </c>
      <c r="P17" s="127">
        <f>IF(A55=FALSE,O34/C35,(O33-O5-O7-O9-O11-O13-O15)/8)</f>
        <v>0.83315972222222201</v>
      </c>
      <c r="Q17" s="137">
        <f t="shared" ref="Q17" si="36">P17-O17</f>
        <v>0.83315972222222201</v>
      </c>
      <c r="R17" s="125">
        <f>Martschenko!I16</f>
        <v>0</v>
      </c>
      <c r="S17" s="127">
        <f>IF(A55=FALSE,R34/C35,(R33-R5-R7-R9-R11-R13-R15)/8)</f>
        <v>0.95928819444444469</v>
      </c>
      <c r="T17" s="129">
        <f t="shared" ref="T17" si="37">S17-R17</f>
        <v>0.95928819444444469</v>
      </c>
      <c r="U17" s="125">
        <f>Soboth!I16</f>
        <v>0</v>
      </c>
      <c r="V17" s="127">
        <f>IF(A55=FALSE,U34/C35,(U33-U5-U7-U9-U11-U13-U15)/8)</f>
        <v>1.0850694444444444</v>
      </c>
      <c r="W17" s="129">
        <f t="shared" ref="W17" si="38">V17-U17</f>
        <v>1.0850694444444444</v>
      </c>
      <c r="X17" s="125">
        <f>Stephan!I16</f>
        <v>0</v>
      </c>
      <c r="Y17" s="127">
        <f>IF(A55=FALSE,X34/C35,(X33-X5-X7-X9-X11-X13-X15)/8)</f>
        <v>0.87664930555555554</v>
      </c>
      <c r="Z17" s="129">
        <f t="shared" ref="Z17" si="39">Y17-X17</f>
        <v>0.87664930555555554</v>
      </c>
    </row>
    <row r="18" spans="1:26" ht="15.75" thickBot="1" x14ac:dyDescent="0.3">
      <c r="A18" s="11" t="s">
        <v>7</v>
      </c>
      <c r="B18" s="12">
        <v>42531</v>
      </c>
      <c r="C18" s="164" t="s">
        <v>18</v>
      </c>
      <c r="D18" s="159"/>
      <c r="E18" s="170" t="s">
        <v>48</v>
      </c>
      <c r="F18" s="144"/>
      <c r="G18" s="33"/>
      <c r="H18" s="151"/>
      <c r="I18" s="126"/>
      <c r="J18" s="128"/>
      <c r="K18" s="138"/>
      <c r="L18" s="126"/>
      <c r="M18" s="128"/>
      <c r="N18" s="138"/>
      <c r="O18" s="126"/>
      <c r="P18" s="128"/>
      <c r="Q18" s="138"/>
      <c r="R18" s="126"/>
      <c r="S18" s="128"/>
      <c r="T18" s="130"/>
      <c r="U18" s="126"/>
      <c r="V18" s="128"/>
      <c r="W18" s="130"/>
      <c r="X18" s="126"/>
      <c r="Y18" s="128"/>
      <c r="Z18" s="130"/>
    </row>
    <row r="19" spans="1:26" ht="15.75" thickBot="1" x14ac:dyDescent="0.3">
      <c r="A19" s="6" t="s">
        <v>8</v>
      </c>
      <c r="B19" s="6">
        <v>42535</v>
      </c>
      <c r="C19" s="165"/>
      <c r="D19" s="158" t="s">
        <v>28</v>
      </c>
      <c r="E19" s="145" t="s">
        <v>27</v>
      </c>
      <c r="F19" s="146"/>
      <c r="G19" s="31"/>
      <c r="H19" s="151"/>
      <c r="I19" s="119">
        <f>Pellekoorne!I18</f>
        <v>0</v>
      </c>
      <c r="J19" s="121">
        <f>IF(A56=FALSE,I34/C35,(I33-I5-I7-I9-I11-I13-I15-I17)/7)</f>
        <v>0.88072916666666645</v>
      </c>
      <c r="K19" s="139">
        <f t="shared" ref="K19" si="40">J19-I19</f>
        <v>0.88072916666666645</v>
      </c>
      <c r="L19" s="119">
        <f>Gutsche!I18</f>
        <v>0</v>
      </c>
      <c r="M19" s="121">
        <f>IF(A60=FALSE,L34/C35,(L33-L5-L7-L9-L11-L13-L15-L17)/7)</f>
        <v>0.94053819444444442</v>
      </c>
      <c r="N19" s="139">
        <f t="shared" ref="N19" si="41">M19-L19</f>
        <v>0.94053819444444442</v>
      </c>
      <c r="O19" s="119">
        <f>Lapp!I18</f>
        <v>0</v>
      </c>
      <c r="P19" s="121">
        <f>IF(A56=FALSE,O34/C35,(O33-O5-O7-O9-O11-O13-O15-O17)/7)</f>
        <v>0.83315972222222201</v>
      </c>
      <c r="Q19" s="139">
        <f t="shared" ref="Q19" si="42">P19-O19</f>
        <v>0.83315972222222201</v>
      </c>
      <c r="R19" s="119">
        <f>Martschenko!I18</f>
        <v>0</v>
      </c>
      <c r="S19" s="121">
        <f>IF(A56=FALSE,R34/C35,(R33-R5-R7-R9-R11-R13-R15-R17)/7)</f>
        <v>0.95928819444444469</v>
      </c>
      <c r="T19" s="123">
        <f t="shared" ref="T19" si="43">S19-R19</f>
        <v>0.95928819444444469</v>
      </c>
      <c r="U19" s="119">
        <f>Soboth!I18</f>
        <v>0</v>
      </c>
      <c r="V19" s="121">
        <f>IF(A56=FALSE,U34/C35,(U33-U5-U7-U9-U11-U13-U15-U17)/7)</f>
        <v>1.0850694444444444</v>
      </c>
      <c r="W19" s="123">
        <f t="shared" ref="W19" si="44">V19-U19</f>
        <v>1.0850694444444444</v>
      </c>
      <c r="X19" s="119">
        <f>Stephan!I18</f>
        <v>0</v>
      </c>
      <c r="Y19" s="121">
        <f>IF(A56=FALSE,X34/C35,(X33-X5-X7-X9-X11-X13-X15-X17)/7)</f>
        <v>0.87664930555555554</v>
      </c>
      <c r="Z19" s="123">
        <f t="shared" ref="Z19" si="45">Y19-X19</f>
        <v>0.87664930555555554</v>
      </c>
    </row>
    <row r="20" spans="1:26" x14ac:dyDescent="0.25">
      <c r="A20" s="9" t="s">
        <v>7</v>
      </c>
      <c r="B20" s="10">
        <v>42538</v>
      </c>
      <c r="C20" s="162" t="s">
        <v>19</v>
      </c>
      <c r="D20" s="158"/>
      <c r="H20" s="151"/>
      <c r="I20" s="131"/>
      <c r="J20" s="132"/>
      <c r="K20" s="140"/>
      <c r="L20" s="131"/>
      <c r="M20" s="132"/>
      <c r="N20" s="140"/>
      <c r="O20" s="131"/>
      <c r="P20" s="132"/>
      <c r="Q20" s="140"/>
      <c r="R20" s="131"/>
      <c r="S20" s="132"/>
      <c r="T20" s="133"/>
      <c r="U20" s="131"/>
      <c r="V20" s="132"/>
      <c r="W20" s="133"/>
      <c r="X20" s="131"/>
      <c r="Y20" s="132"/>
      <c r="Z20" s="133"/>
    </row>
    <row r="21" spans="1:26" x14ac:dyDescent="0.25">
      <c r="A21" s="4" t="s">
        <v>8</v>
      </c>
      <c r="B21" s="13">
        <v>42542</v>
      </c>
      <c r="C21" s="163"/>
      <c r="D21" s="159" t="s">
        <v>29</v>
      </c>
      <c r="E21" s="29"/>
      <c r="F21" s="30"/>
      <c r="G21" s="31"/>
      <c r="H21" s="151"/>
      <c r="I21" s="125">
        <f>Pellekoorne!I20</f>
        <v>0</v>
      </c>
      <c r="J21" s="127">
        <f>IF(A57=FALSE,I34/C35,(I33-I5-I7-I9-I11-I13-I15-I17-I19)/6)</f>
        <v>0.88072916666666645</v>
      </c>
      <c r="K21" s="137">
        <f t="shared" ref="K21" si="46">J21-I21</f>
        <v>0.88072916666666645</v>
      </c>
      <c r="L21" s="125">
        <f>Gutsche!I20</f>
        <v>0</v>
      </c>
      <c r="M21" s="127">
        <f>IF(A62=FALSE,L34/C35,(L33-L5-L7-L9-L11-L13-L15-L17-L19)/6)</f>
        <v>0.94053819444444442</v>
      </c>
      <c r="N21" s="137">
        <f t="shared" ref="N21" si="47">M21-L21</f>
        <v>0.94053819444444442</v>
      </c>
      <c r="O21" s="125">
        <f>Lapp!I20</f>
        <v>0</v>
      </c>
      <c r="P21" s="127">
        <f>IF(A57=FALSE,O34/C35,(O33-O5-O7-O9-O11-O13-O15-O17-O19)/6)</f>
        <v>0.83315972222222201</v>
      </c>
      <c r="Q21" s="137">
        <f t="shared" ref="Q21" si="48">P21-O21</f>
        <v>0.83315972222222201</v>
      </c>
      <c r="R21" s="125">
        <f>Martschenko!I20</f>
        <v>0</v>
      </c>
      <c r="S21" s="127">
        <f>IF(A57=FALSE,R34/C35,(R33-R5-R7-R9-R11-R13-R15-R17-R19)/6)</f>
        <v>0.95928819444444469</v>
      </c>
      <c r="T21" s="129">
        <f t="shared" ref="T21" si="49">S21-R21</f>
        <v>0.95928819444444469</v>
      </c>
      <c r="U21" s="125">
        <f>Soboth!I20</f>
        <v>0</v>
      </c>
      <c r="V21" s="127">
        <f>IF(A57=FALSE,U34/C35,(U33-U5-U7-U9-U11-U13-U15-U17-U19)/6)</f>
        <v>1.0850694444444444</v>
      </c>
      <c r="W21" s="129">
        <f t="shared" ref="W21" si="50">V21-U21</f>
        <v>1.0850694444444444</v>
      </c>
      <c r="X21" s="125">
        <f>Stephan!I20</f>
        <v>0</v>
      </c>
      <c r="Y21" s="127">
        <f>IF(A57=FALSE,X34/C35,(X33-X5-X7-X9-X11-X13-X15-X17-X19)/6)</f>
        <v>0.87664930555555554</v>
      </c>
      <c r="Z21" s="129">
        <f t="shared" ref="Z21" si="51">Y21-X21</f>
        <v>0.87664930555555554</v>
      </c>
    </row>
    <row r="22" spans="1:26" x14ac:dyDescent="0.25">
      <c r="A22" s="9" t="s">
        <v>7</v>
      </c>
      <c r="B22" s="12">
        <v>42545</v>
      </c>
      <c r="C22" s="164" t="s">
        <v>20</v>
      </c>
      <c r="D22" s="159"/>
      <c r="E22" s="32"/>
      <c r="F22" s="2"/>
      <c r="G22" s="33"/>
      <c r="H22" s="151"/>
      <c r="I22" s="126"/>
      <c r="J22" s="128"/>
      <c r="K22" s="138"/>
      <c r="L22" s="126"/>
      <c r="M22" s="128"/>
      <c r="N22" s="138"/>
      <c r="O22" s="126"/>
      <c r="P22" s="128"/>
      <c r="Q22" s="138"/>
      <c r="R22" s="126"/>
      <c r="S22" s="128"/>
      <c r="T22" s="130"/>
      <c r="U22" s="126"/>
      <c r="V22" s="128"/>
      <c r="W22" s="130"/>
      <c r="X22" s="126"/>
      <c r="Y22" s="128"/>
      <c r="Z22" s="130"/>
    </row>
    <row r="23" spans="1:26" x14ac:dyDescent="0.25">
      <c r="A23" s="5" t="s">
        <v>8</v>
      </c>
      <c r="B23" s="13">
        <v>42549</v>
      </c>
      <c r="C23" s="163"/>
      <c r="D23" s="158" t="s">
        <v>30</v>
      </c>
      <c r="E23" s="29"/>
      <c r="F23" s="30"/>
      <c r="G23" s="31"/>
      <c r="H23" s="151"/>
      <c r="I23" s="119">
        <f>Pellekoorne!I22</f>
        <v>0</v>
      </c>
      <c r="J23" s="121">
        <f>IF(A58=FALSE,I34/C35,(I33-I5-I7-I9-I11-I13-I15-I17-I19-I21)/5)</f>
        <v>0.88072916666666645</v>
      </c>
      <c r="K23" s="139">
        <f t="shared" ref="K23" si="52">J23-I23</f>
        <v>0.88072916666666645</v>
      </c>
      <c r="L23" s="119">
        <f>Gutsche!I22</f>
        <v>0</v>
      </c>
      <c r="M23" s="121">
        <f>IF(A64=FALSE,L34/C35,(L33-L5-L7-L9-L11-L13-L15-L17-L19-L21)/5)</f>
        <v>0.94053819444444442</v>
      </c>
      <c r="N23" s="139">
        <f t="shared" ref="N23" si="53">M23-L23</f>
        <v>0.94053819444444442</v>
      </c>
      <c r="O23" s="119">
        <f>Lapp!I22</f>
        <v>0</v>
      </c>
      <c r="P23" s="121">
        <f>IF(A58=FALSE,O34/C35,(O33-O5-O7-O9-O11-O13-O15-O17-O19-O21)/5)</f>
        <v>0.83315972222222201</v>
      </c>
      <c r="Q23" s="139">
        <f t="shared" ref="Q23" si="54">P23-O23</f>
        <v>0.83315972222222201</v>
      </c>
      <c r="R23" s="119">
        <f>Martschenko!I22</f>
        <v>0</v>
      </c>
      <c r="S23" s="121">
        <f>IF(A58=FALSE,R34/C35,(R33-R5-R7-R9-R11-R13-R15-R17-R19-R21)/5)</f>
        <v>0.95928819444444469</v>
      </c>
      <c r="T23" s="123">
        <f t="shared" ref="T23" si="55">S23-R23</f>
        <v>0.95928819444444469</v>
      </c>
      <c r="U23" s="119">
        <f>Soboth!I22</f>
        <v>0</v>
      </c>
      <c r="V23" s="121">
        <f>IF(A58=FALSE,U34/C35,(U33-U5-U7-U9-U11-U13-U15-U17-U19-U21)/5)</f>
        <v>1.0850694444444444</v>
      </c>
      <c r="W23" s="123">
        <f t="shared" ref="W23" si="56">V23-U23</f>
        <v>1.0850694444444444</v>
      </c>
      <c r="X23" s="119">
        <f>Stephan!I22</f>
        <v>0</v>
      </c>
      <c r="Y23" s="121">
        <f>IF(A58=FALSE,X34/C35,(X33-X5-X7-X9-X11-X13-X15-X17-X19-X21)/5)</f>
        <v>0.87664930555555554</v>
      </c>
      <c r="Z23" s="123">
        <f t="shared" ref="Z23" si="57">Y23-X23</f>
        <v>0.87664930555555554</v>
      </c>
    </row>
    <row r="24" spans="1:26" x14ac:dyDescent="0.25">
      <c r="A24" s="9" t="s">
        <v>7</v>
      </c>
      <c r="B24" s="10">
        <v>42552</v>
      </c>
      <c r="C24" s="160" t="s">
        <v>21</v>
      </c>
      <c r="D24" s="158"/>
      <c r="E24" s="32"/>
      <c r="F24" s="2"/>
      <c r="G24" s="33"/>
      <c r="H24" s="151"/>
      <c r="I24" s="131"/>
      <c r="J24" s="132"/>
      <c r="K24" s="140"/>
      <c r="L24" s="131"/>
      <c r="M24" s="132"/>
      <c r="N24" s="140"/>
      <c r="O24" s="131"/>
      <c r="P24" s="132"/>
      <c r="Q24" s="140"/>
      <c r="R24" s="131"/>
      <c r="S24" s="132"/>
      <c r="T24" s="133"/>
      <c r="U24" s="131"/>
      <c r="V24" s="132"/>
      <c r="W24" s="133"/>
      <c r="X24" s="131"/>
      <c r="Y24" s="132"/>
      <c r="Z24" s="133"/>
    </row>
    <row r="25" spans="1:26" x14ac:dyDescent="0.25">
      <c r="A25" s="4" t="s">
        <v>8</v>
      </c>
      <c r="B25" s="13">
        <v>42556</v>
      </c>
      <c r="C25" s="160"/>
      <c r="D25" s="159" t="s">
        <v>31</v>
      </c>
      <c r="E25" s="37"/>
      <c r="F25" s="38"/>
      <c r="G25" s="39"/>
      <c r="H25" s="151"/>
      <c r="I25" s="125">
        <f>Pellekoorne!I24</f>
        <v>0</v>
      </c>
      <c r="J25" s="127">
        <f>IF(A59=FALSE,I34/C35,(I33-I5-I7-I9-I11-I13-I15-I17-I19-I21-I23)/4)</f>
        <v>0.88072916666666645</v>
      </c>
      <c r="K25" s="137">
        <f t="shared" ref="K25" si="58">J25-I25</f>
        <v>0.88072916666666645</v>
      </c>
      <c r="L25" s="125">
        <f>Gutsche!I24</f>
        <v>0</v>
      </c>
      <c r="M25" s="127">
        <f>IF(A66=FALSE,L34/C35,(L33-L5-L7-L9-L11-L13-L15-L17-L19-L21-L23)/4)</f>
        <v>0.94053819444444442</v>
      </c>
      <c r="N25" s="137">
        <f t="shared" ref="N25" si="59">M25-L25</f>
        <v>0.94053819444444442</v>
      </c>
      <c r="O25" s="125">
        <f>Lapp!I24</f>
        <v>0</v>
      </c>
      <c r="P25" s="127">
        <f>IF(A59=FALSE,O34/C35,(O33-O5-O7-O9-O11-O13-O15-O17-O19-O21-O23)/4)</f>
        <v>0.83315972222222201</v>
      </c>
      <c r="Q25" s="137">
        <f t="shared" ref="Q25" si="60">P25-O25</f>
        <v>0.83315972222222201</v>
      </c>
      <c r="R25" s="125">
        <f>Martschenko!I24</f>
        <v>0</v>
      </c>
      <c r="S25" s="127">
        <f>IF(A59=FALSE,R34/C35,(R33-R5-R7-R9-R11-R13-R15-R17-R19-R21-R23)/4)</f>
        <v>0.95928819444444469</v>
      </c>
      <c r="T25" s="129">
        <f t="shared" ref="T25" si="61">S25-R25</f>
        <v>0.95928819444444469</v>
      </c>
      <c r="U25" s="125">
        <f>Soboth!I24</f>
        <v>0</v>
      </c>
      <c r="V25" s="127">
        <f>IF(A59=FALSE,U34/C35,(U33-U5-U7-U9-U11-U13-U15-U17-U19-U21-U23)/4)</f>
        <v>1.0850694444444444</v>
      </c>
      <c r="W25" s="129">
        <f t="shared" ref="W25" si="62">V25-U25</f>
        <v>1.0850694444444444</v>
      </c>
      <c r="X25" s="125">
        <f>Stephan!I24</f>
        <v>0</v>
      </c>
      <c r="Y25" s="127">
        <f>IF(A59=FALSE,X34/C35,(X33-X5-X7-X9-X11-X13-X15-X17-X19-X21-X23)/4)</f>
        <v>0.87664930555555554</v>
      </c>
      <c r="Z25" s="129">
        <f t="shared" ref="Z25" si="63">Y25-X25</f>
        <v>0.87664930555555554</v>
      </c>
    </row>
    <row r="26" spans="1:26" x14ac:dyDescent="0.25">
      <c r="A26" s="9" t="s">
        <v>7</v>
      </c>
      <c r="B26" s="12">
        <v>42559</v>
      </c>
      <c r="C26" s="160" t="s">
        <v>22</v>
      </c>
      <c r="D26" s="159"/>
      <c r="E26" s="40"/>
      <c r="F26" s="36"/>
      <c r="G26" s="41"/>
      <c r="H26" s="151"/>
      <c r="I26" s="126"/>
      <c r="J26" s="128"/>
      <c r="K26" s="138"/>
      <c r="L26" s="126"/>
      <c r="M26" s="128"/>
      <c r="N26" s="138"/>
      <c r="O26" s="126"/>
      <c r="P26" s="128"/>
      <c r="Q26" s="138"/>
      <c r="R26" s="126"/>
      <c r="S26" s="128"/>
      <c r="T26" s="130"/>
      <c r="U26" s="126"/>
      <c r="V26" s="128"/>
      <c r="W26" s="130"/>
      <c r="X26" s="126"/>
      <c r="Y26" s="128"/>
      <c r="Z26" s="130"/>
    </row>
    <row r="27" spans="1:26" x14ac:dyDescent="0.25">
      <c r="A27" s="5" t="s">
        <v>8</v>
      </c>
      <c r="B27" s="13">
        <v>42563</v>
      </c>
      <c r="C27" s="160"/>
      <c r="D27" s="158" t="s">
        <v>32</v>
      </c>
      <c r="E27" s="29"/>
      <c r="F27" s="30"/>
      <c r="G27" s="31"/>
      <c r="H27" s="151"/>
      <c r="I27" s="119">
        <f>Pellekoorne!I26</f>
        <v>0</v>
      </c>
      <c r="J27" s="121">
        <f>IF(A60=FALSE,I34/C35,(I33-I5-I7-I9-I11-I13-I15-I17-I19-I21-I23-I25)/3)</f>
        <v>0.88072916666666645</v>
      </c>
      <c r="K27" s="139">
        <f t="shared" ref="K27" si="64">J27-I27</f>
        <v>0.88072916666666645</v>
      </c>
      <c r="L27" s="119">
        <f>Gutsche!I26</f>
        <v>0</v>
      </c>
      <c r="M27" s="121">
        <f>IF(A68=FALSE,L34/C35,(L33-L5-L7-L9-L11-L13-L15-L17-L19-L21-L23-L25)/3)</f>
        <v>0.94053819444444442</v>
      </c>
      <c r="N27" s="139">
        <f t="shared" ref="N27" si="65">M27-L27</f>
        <v>0.94053819444444442</v>
      </c>
      <c r="O27" s="119">
        <f>Lapp!I26</f>
        <v>0</v>
      </c>
      <c r="P27" s="121">
        <f>IF(A60=FALSE,O34/C35,(O33-O5-O7-O9-O11-O13-O15-O17-O19-O21-O23-O25)/3)</f>
        <v>0.83315972222222201</v>
      </c>
      <c r="Q27" s="139">
        <f t="shared" ref="Q27" si="66">P27-O27</f>
        <v>0.83315972222222201</v>
      </c>
      <c r="R27" s="119">
        <f>Martschenko!I26</f>
        <v>0</v>
      </c>
      <c r="S27" s="121">
        <f>IF(A60=FALSE,R34/C35,(R33-R5-R7-R9-R11-R13-R15-R17-R19-R21-R23-R25)/3)</f>
        <v>0.95928819444444469</v>
      </c>
      <c r="T27" s="123">
        <f t="shared" ref="T27" si="67">S27-R27</f>
        <v>0.95928819444444469</v>
      </c>
      <c r="U27" s="119">
        <f>Soboth!I26</f>
        <v>0</v>
      </c>
      <c r="V27" s="121">
        <f>IF(A60=FALSE,U34/C35,(U33-U5-U7-U9-U11-U13-U15-U17-U19-U21-U23-U25)/3)</f>
        <v>1.0850694444444444</v>
      </c>
      <c r="W27" s="123">
        <f t="shared" ref="W27" si="68">V27-U27</f>
        <v>1.0850694444444444</v>
      </c>
      <c r="X27" s="119">
        <f>Stephan!I26</f>
        <v>0</v>
      </c>
      <c r="Y27" s="121">
        <f>IF(A60=FALSE,X34/C35,(X33-X5-X7-X9-X11-X13-X15-X17-X19-X21-X23-X25)/3)</f>
        <v>0.87664930555555554</v>
      </c>
      <c r="Z27" s="123">
        <f t="shared" ref="Z27" si="69">Y27-X27</f>
        <v>0.87664930555555554</v>
      </c>
    </row>
    <row r="28" spans="1:26" x14ac:dyDescent="0.25">
      <c r="A28" s="9" t="s">
        <v>7</v>
      </c>
      <c r="B28" s="10">
        <v>42566</v>
      </c>
      <c r="C28" s="160" t="s">
        <v>23</v>
      </c>
      <c r="D28" s="158"/>
      <c r="E28" s="32"/>
      <c r="F28" s="2"/>
      <c r="G28" s="33"/>
      <c r="H28" s="151"/>
      <c r="I28" s="131"/>
      <c r="J28" s="132"/>
      <c r="K28" s="140"/>
      <c r="L28" s="131"/>
      <c r="M28" s="132"/>
      <c r="N28" s="140"/>
      <c r="O28" s="131"/>
      <c r="P28" s="132"/>
      <c r="Q28" s="140"/>
      <c r="R28" s="131"/>
      <c r="S28" s="132"/>
      <c r="T28" s="133"/>
      <c r="U28" s="131"/>
      <c r="V28" s="132"/>
      <c r="W28" s="133"/>
      <c r="X28" s="131"/>
      <c r="Y28" s="132"/>
      <c r="Z28" s="133"/>
    </row>
    <row r="29" spans="1:26" x14ac:dyDescent="0.25">
      <c r="A29" s="4" t="s">
        <v>8</v>
      </c>
      <c r="B29" s="13">
        <v>42570</v>
      </c>
      <c r="C29" s="160"/>
      <c r="D29" s="159" t="s">
        <v>33</v>
      </c>
      <c r="E29" s="29"/>
      <c r="F29" s="30"/>
      <c r="G29" s="31"/>
      <c r="H29" s="151"/>
      <c r="I29" s="125">
        <f>Pellekoorne!I28</f>
        <v>0</v>
      </c>
      <c r="J29" s="127">
        <f>IF(A61=FALSE,I34/C35,(I33-I5-I7-I9-I11-I13-I15-I17-I19-I21-I23-I25-I27)/2)</f>
        <v>0.88072916666666645</v>
      </c>
      <c r="K29" s="137">
        <f t="shared" ref="K29" si="70">J29-I29</f>
        <v>0.88072916666666645</v>
      </c>
      <c r="L29" s="125">
        <f>Gutsche!I28</f>
        <v>0</v>
      </c>
      <c r="M29" s="127">
        <f>IF(A70=FALSE,L34/C35,(L33-L5-L7-L9-L11-L13-L15-L17-L19-L21-L23-L25-L27)/2)</f>
        <v>0.94053819444444442</v>
      </c>
      <c r="N29" s="137">
        <f t="shared" ref="N29" si="71">M29-L29</f>
        <v>0.94053819444444442</v>
      </c>
      <c r="O29" s="125">
        <f>Lapp!I28</f>
        <v>0</v>
      </c>
      <c r="P29" s="127">
        <f>IF(A61=FALSE,O34/C35,(O33-O5-O7-O9-O11-O13-O15-O17-O19-O21-O23-O25-O27)/2)</f>
        <v>0.83315972222222201</v>
      </c>
      <c r="Q29" s="137">
        <f t="shared" ref="Q29" si="72">P29-O29</f>
        <v>0.83315972222222201</v>
      </c>
      <c r="R29" s="125">
        <f>Martschenko!I28</f>
        <v>0</v>
      </c>
      <c r="S29" s="127">
        <f>IF(A61=FALSE,R34/C35,(R33-R5-R7-R9-R11-R13-R15-R17-R19-R21-R23-R25-R27)/2)</f>
        <v>0.95928819444444469</v>
      </c>
      <c r="T29" s="129">
        <f t="shared" ref="T29" si="73">S29-R29</f>
        <v>0.95928819444444469</v>
      </c>
      <c r="U29" s="125">
        <f>Soboth!I28</f>
        <v>0</v>
      </c>
      <c r="V29" s="127">
        <f>IF(A61=FALSE,U34/C35,(U33-U5-U7-U9-U11-U13-U15-U17-U19-U21-U23-U25-U27)/2)</f>
        <v>1.0850694444444444</v>
      </c>
      <c r="W29" s="129">
        <f t="shared" ref="W29" si="74">V29-U29</f>
        <v>1.0850694444444444</v>
      </c>
      <c r="X29" s="125">
        <f>Stephan!I28</f>
        <v>0</v>
      </c>
      <c r="Y29" s="127">
        <f>IF(A61=FALSE,X34/C35,(X33-X5-X7-X9-X11-X13-X15-X17-X19-X21-X23-X25-X27)/2)</f>
        <v>0.87664930555555554</v>
      </c>
      <c r="Z29" s="129">
        <f t="shared" ref="Z29" si="75">Y29-X29</f>
        <v>0.87664930555555554</v>
      </c>
    </row>
    <row r="30" spans="1:26" x14ac:dyDescent="0.25">
      <c r="A30" s="9" t="s">
        <v>7</v>
      </c>
      <c r="B30" s="12">
        <v>42573</v>
      </c>
      <c r="C30" s="160" t="s">
        <v>24</v>
      </c>
      <c r="D30" s="159"/>
      <c r="E30" s="32"/>
      <c r="F30" s="2"/>
      <c r="G30" s="33"/>
      <c r="H30" s="151"/>
      <c r="I30" s="126"/>
      <c r="J30" s="128"/>
      <c r="K30" s="138"/>
      <c r="L30" s="126"/>
      <c r="M30" s="128"/>
      <c r="N30" s="138"/>
      <c r="O30" s="126"/>
      <c r="P30" s="128"/>
      <c r="Q30" s="138"/>
      <c r="R30" s="126"/>
      <c r="S30" s="128"/>
      <c r="T30" s="130"/>
      <c r="U30" s="126"/>
      <c r="V30" s="128"/>
      <c r="W30" s="130"/>
      <c r="X30" s="126"/>
      <c r="Y30" s="128"/>
      <c r="Z30" s="130"/>
    </row>
    <row r="31" spans="1:26" x14ac:dyDescent="0.25">
      <c r="A31" s="5" t="s">
        <v>8</v>
      </c>
      <c r="B31" s="13">
        <v>42577</v>
      </c>
      <c r="C31" s="160"/>
      <c r="D31" s="158" t="s">
        <v>34</v>
      </c>
      <c r="E31" s="29"/>
      <c r="F31" s="30"/>
      <c r="G31" s="31"/>
      <c r="H31" s="151"/>
      <c r="I31" s="119">
        <f>Pellekoorne!I30</f>
        <v>0</v>
      </c>
      <c r="J31" s="121">
        <f>IF(A62=FALSE,I34/C35,(I33-I5-I7-I9-I11-I13-I15-I17-I19-I21-I23-I25-I27-I29)/1)</f>
        <v>0.88072916666666645</v>
      </c>
      <c r="K31" s="139">
        <f t="shared" ref="K31" si="76">J31-I31</f>
        <v>0.88072916666666645</v>
      </c>
      <c r="L31" s="119">
        <f>Gutsche!I30</f>
        <v>0</v>
      </c>
      <c r="M31" s="121">
        <f>IF(A72=FALSE,L34/C35,(L33-L5-L7-L9-L11-L13-L15-L17-L19-L21-L23-L25-L27-L29)/1)</f>
        <v>0.94053819444444442</v>
      </c>
      <c r="N31" s="139">
        <f t="shared" ref="N31" si="77">M31-L31</f>
        <v>0.94053819444444442</v>
      </c>
      <c r="O31" s="119">
        <f>Lapp!I30</f>
        <v>0</v>
      </c>
      <c r="P31" s="121">
        <f>IF(A62=FALSE,O34/C35,(O33-O5-O7-O9-O11-O13-O15-O17-O19-O21-O23-O25-O27-O29)/1)</f>
        <v>0.83315972222222201</v>
      </c>
      <c r="Q31" s="139">
        <f t="shared" ref="Q31" si="78">P31-O31</f>
        <v>0.83315972222222201</v>
      </c>
      <c r="R31" s="119">
        <f>Martschenko!I30</f>
        <v>0</v>
      </c>
      <c r="S31" s="121">
        <f>IF(A62=FALSE,R34/C35,(R33-R5-R7-R9-R11-R13-R15-R17-R19-R21-R23-R25-R27-R29)/1)</f>
        <v>0.95928819444444469</v>
      </c>
      <c r="T31" s="123">
        <f t="shared" ref="T31" si="79">S31-R31</f>
        <v>0.95928819444444469</v>
      </c>
      <c r="U31" s="119">
        <f>Soboth!I30</f>
        <v>0</v>
      </c>
      <c r="V31" s="121">
        <f>IF(A62=FALSE,U34/C35,(U33-U5-U7-U9-U11-U13-U15-U17-U19-U21-U23-U25-U27-U29)/1)</f>
        <v>1.0850694444444444</v>
      </c>
      <c r="W31" s="123">
        <f t="shared" ref="W31" si="80">V31-U31</f>
        <v>1.0850694444444444</v>
      </c>
      <c r="X31" s="119">
        <f>Stephan!I30</f>
        <v>0</v>
      </c>
      <c r="Y31" s="121">
        <f>IF(A62=FALSE,X34/C35,(X33-X5-X7-X9-X11-X13-X15-X17-X19-X21-X23-X25-X27-X29)/1)</f>
        <v>0.87664930555555554</v>
      </c>
      <c r="Z31" s="123">
        <f t="shared" ref="Z31" si="81">Y31-X31</f>
        <v>0.87664930555555554</v>
      </c>
    </row>
    <row r="32" spans="1:26" ht="15.75" thickBot="1" x14ac:dyDescent="0.3">
      <c r="A32" s="11" t="s">
        <v>7</v>
      </c>
      <c r="B32" s="10">
        <v>42580</v>
      </c>
      <c r="C32" s="160" t="s">
        <v>25</v>
      </c>
      <c r="D32" s="158"/>
      <c r="E32" s="42"/>
      <c r="F32" s="43"/>
      <c r="G32" s="44"/>
      <c r="H32" s="152"/>
      <c r="I32" s="131"/>
      <c r="J32" s="122"/>
      <c r="K32" s="141"/>
      <c r="L32" s="131"/>
      <c r="M32" s="132"/>
      <c r="N32" s="141"/>
      <c r="O32" s="131"/>
      <c r="P32" s="122"/>
      <c r="Q32" s="141"/>
      <c r="R32" s="120"/>
      <c r="S32" s="122"/>
      <c r="T32" s="124"/>
      <c r="U32" s="120"/>
      <c r="V32" s="122"/>
      <c r="W32" s="124"/>
      <c r="X32" s="120"/>
      <c r="Y32" s="122"/>
      <c r="Z32" s="124"/>
    </row>
    <row r="33" spans="1:26" ht="16.5" thickBot="1" x14ac:dyDescent="0.3">
      <c r="A33" s="8" t="s">
        <v>8</v>
      </c>
      <c r="B33" s="14">
        <v>42584</v>
      </c>
      <c r="C33" s="161"/>
      <c r="D33" s="3"/>
      <c r="E33" s="144" t="s">
        <v>26</v>
      </c>
      <c r="F33" s="144"/>
      <c r="H33" s="23" t="s">
        <v>43</v>
      </c>
      <c r="I33" s="113">
        <v>11.25</v>
      </c>
      <c r="J33" s="114"/>
      <c r="K33" s="114"/>
      <c r="L33" s="113">
        <v>11.25</v>
      </c>
      <c r="M33" s="114"/>
      <c r="N33" s="114"/>
      <c r="O33" s="113">
        <v>11.25</v>
      </c>
      <c r="P33" s="114"/>
      <c r="Q33" s="114"/>
      <c r="R33" s="113">
        <v>11.25</v>
      </c>
      <c r="S33" s="114"/>
      <c r="T33" s="115"/>
      <c r="U33" s="113">
        <v>11.25</v>
      </c>
      <c r="V33" s="114"/>
      <c r="W33" s="115"/>
      <c r="X33" s="113">
        <v>11.25</v>
      </c>
      <c r="Y33" s="114"/>
      <c r="Z33" s="115"/>
    </row>
    <row r="34" spans="1:26" ht="19.5" thickBot="1" x14ac:dyDescent="0.35">
      <c r="H34" s="22" t="s">
        <v>44</v>
      </c>
      <c r="I34" s="116">
        <f>IF(COUNTIF(A49:A62,TRUE)=0,I33,IF(COUNTIF(A49:A62,TRUE)=1,I33-I5,IF(COUNTIF(A49:A62,TRUE)=2,I33-I5-I7,IF(COUNTIF(A49:A62,TRUE) = 3,I33-I5-I7-I9,IF(COUNTIF(A49:A62,TRUE)=4,I33-I5-I7-I9-I11,IF(COUNTIF(A49:A62,TRUE) = 5,I33-I5-I7-I9-I11-I13,IF(COUNTIF(A49:A62,TRUE) = 6,I33-I5-I7-I9-I11-I13-I15,IF(COUNTIF(A49:A62,TRUE) = 7,I33-I5-I7-I9-I11-I13-I15-I17,IF(COUNTIF(A49:A62,TRUE) = 8,I33-I5-I7-I9-I11-I13-I15-I17-I19,IF(COUNTIF(A49:A62,TRUE) = 9,I33-I5-I7-I9-I11-I13-I15-I17-I19-I21,IF(COUNTIF(A49:A62,TRUE) = 10,I33-I5-I7-I9-I11-I13-I15-I17-I19-I21-I23,IF(COUNTIF(A49:A62,TRUE) = 11,I33-I5-I7-I9-I11-I13-I15-I17-I19-I21-I23-I25,IF(COUNTIF(A49:A62,TRUE) = 12,I33-I5-I7-I9-I11-I13-I15-I17-I19-I21-I23-I25-I27,IF(COUNTIF(A49:A62,TRUE) = 13,I33-I5-I7-I9-I11-I13-I15-I17-I19-I21-I23-I25-I27-I29,IF(COUNTIF(A49:A62,TRUE) = 14,I33-I5-I7-I9-I11-I13-I15-I17-I19-I21-I23-I25-I27-I29-I31,"falsche Eingabe")))))))))))))))</f>
        <v>7.0458333333333316</v>
      </c>
      <c r="J34" s="117"/>
      <c r="K34" s="117"/>
      <c r="L34" s="116">
        <f>IF(COUNTIF(A49:A62,TRUE)=0,L33,IF(COUNTIF(A49:A62,TRUE)=1,L33-L5,IF(COUNTIF(A49:A62,TRUE)=2,L33-L5-L7,IF(COUNTIF(A49:A62,TRUE) = 3,L33-L5-L7-L9,IF(COUNTIF(A49:A62,TRUE)=4,L33-L5-L7-L9-L11,IF(COUNTIF(A49:A62,TRUE) = 5,L33-L5-L7-L9-L11-L13,IF(COUNTIF(A49:A62,TRUE) = 6,L33-L5-L7-L9-L11-L13-L15,IF(COUNTIF(A49:A62,TRUE) = 7,L33-L5-L7-L9-L11-L13-L15-L17,IF(COUNTIF(A49:A62,TRUE) = 8,L33-L5-L7-L9-L11-L13-L15-L17-L19,IF(COUNTIF(A49:A62,TRUE) = 9,L33-L5-L7-L9-L11-L13-L15-L17-L19-L21,IF(COUNTIF(A49:A62,TRUE) = 10,L33-L5-L7-L9-L11-L13-L15-L17-L19-L21-L23,IF(COUNTIF(A49:A62,TRUE) = 11,L33-L5-L7-L9-L11-L13-L15-L17-L19-L21-L23-L25,IF(COUNTIF(A49:A62,TRUE) = 12,L33-L5-L7-L9-L11-L13-L15-L17-L19-L21-L23-L25-L27,IF(COUNTIF(A49:A62,TRUE) = 13,L33-L5-L7-L9-L11-L13-L15-L17-L19-L21-L23-L25-L27-L29,IF(COUNTIF(A49:A62,TRUE) = 14,L33-L5-L7-L9-L11-L13-L15-L17-L19-L21-L23-L25-L27-L29-L31,"falsche Eingabe")))))))))))))))</f>
        <v>7.5243055555555554</v>
      </c>
      <c r="M34" s="117"/>
      <c r="N34" s="117"/>
      <c r="O34" s="116">
        <f>IF(COUNTIF(A49:A62,TRUE)=0,O33,IF(COUNTIF(A49:A62,TRUE)=1,O33-O5,IF(COUNTIF(A49:A62,TRUE)=2,O33-O5-O7,IF(COUNTIF(A49:A62,TRUE) = 3,O33-O5-O7-O9,IF(COUNTIF(A49:A62,TRUE)=4,O33-O5-O7-O9-O11,IF(COUNTIF(A49:A62,TRUE) = 5,O33-O5-O7-O9-O11-O13,IF(COUNTIF(A49:A62,TRUE) = 6,O33-O5-O7-O9-O11-O13-O15,IF(COUNTIF(A49:A62,TRUE) = 7,O33-O5-O7-O9-O11-O13-O15-O17,IF(COUNTIF(A49:A62,TRUE) = 8,O33-O5-O7-O9-O11-O13-O15-O17-O19,IF(COUNTIF(A49:A62,TRUE) = 9,O33-O5-O7-O9-O11-O13-O15-O17-O19-O21,IF(COUNTIF(A49:A62,TRUE) = 10,O33-O5-O7-O9-O11-O13-O15-O17-O19-O21-O23,IF(COUNTIF(A49:A62,TRUE) = 11,O33-O5-O7-O9-O11-O13-O15-O17-O19-O21-O23-O25,IF(COUNTIF(A49:A62,TRUE) = 12,O33-O5-O7-O9-O11-O13-O15-O17-O19-O21-O23-O25-O27,IF(COUNTIF(A49:A62,TRUE) = 13,O33-O5-O7-O9-O11-O13-O15-O17-O19-O21-O23-O25-O27-O29,IF(COUNTIF(A49:A62,TRUE) = 14,O33-O5-O7-O9-O11-O13-O15-O17-O19-O21-O23-O25-O27-O29-O31,"falsche Eingabe")))))))))))))))</f>
        <v>6.6652777777777761</v>
      </c>
      <c r="P34" s="117"/>
      <c r="Q34" s="117"/>
      <c r="R34" s="116">
        <f>IF(COUNTIF(A49:A62,TRUE)=0,R33,IF(COUNTIF(A49:A62,TRUE)=1,R33-R5,IF(COUNTIF(A49:A62,TRUE)=2,R33-R5-R7,IF(COUNTIF(A49:A62,TRUE) = 3,R33-R5-R7-R9,IF(COUNTIF(A49:A62,TRUE)=4,R33-R5-R7-R9-R11,IF(COUNTIF(A49:A62,TRUE) = 5,R33-R5-R7-R9-R11-R13,IF(COUNTIF(A49:A62,TRUE) = 6,R33-R5-R7-R9-R11-R13-R15,IF(COUNTIF(A49:A62,TRUE) = 7,R33-R5-R7-R9-R11-R13-R15-R17,IF(COUNTIF(A49:A62,TRUE) = 8,R33-R5-R7-R9-R11-R13-R15-R17-R19,IF(COUNTIF(A49:A62,TRUE) = 9,R33-R5-R7-R9-R11-R13-R15-R17-R19-R21,IF(COUNTIF(A49:A62,TRUE) = 10,R33-R5-R7-R9-R11-R13-R15-R17-R19-R21-R23,IF(COUNTIF(A49:A62,TRUE) = 11,R33-R5-R7-R9-R11-R13-R15-R17-R19-R21-R23-R25,IF(COUNTIF(A49:A62,TRUE) = 12,R33-R5-R7-R9-R11-R13-R15-R17-R19-R21-R23-R25-R27,IF(COUNTIF(A49:A62,TRUE) = 13,R33-R5-R7-R9-R11-R13-R15-R17-R19-R21-R23-R25-R27-R29,IF(COUNTIF(A49:A62,TRUE) = 14,R33-R5-R7-R9-R11-R13-R15-R17-R19-R21-R23-R25-R27-R29-R31,"falsche Eingabe")))))))))))))))</f>
        <v>7.6743055555555575</v>
      </c>
      <c r="S34" s="117"/>
      <c r="T34" s="118"/>
      <c r="U34" s="116">
        <f>IF(COUNTIF(A49:A62,TRUE)=0,U33,IF(COUNTIF(A49:A62,TRUE)=1,U33-U5,IF(COUNTIF(A49:A62,TRUE)=2,U33-U5-U7,IF(COUNTIF(A49:A62,TRUE) = 3,U33-U5-U7-U9,IF(COUNTIF(A49:A62,TRUE)=4,U33-U5-U7-U9-U11,IF(COUNTIF(A49:A62,TRUE) = 5,U33-U5-U7-U9-U11-U13,IF(COUNTIF(A49:A62,TRUE) = 6,U33-U5-U7-U9-U11-U13-U15,IF(COUNTIF(A49:A62,TRUE) = 7,U33-U5-U7-U9-U11-U13-U15-U17,IF(COUNTIF(A49:A62,TRUE) = 8,U33-U5-U7-U9-U11-U13-U15-U17-U19,IF(COUNTIF(A49:A62,TRUE) = 9,U33-U5-U7-U9-U11-U13-U15-U17-U19-U21,IF(COUNTIF(A49:A62,TRUE) = 10,U33-U5-U7-U9-U11-U13-U15-U17-U19-U21-U23,IF(COUNTIF(A49:A62,TRUE) = 11,U33-U5-U7-U9-U11-U13-U15-U17-U19-U21-U23-U25,IF(COUNTIF(A49:A62,TRUE) = 12,U33-U5-U7-U9-U11-U13-U15-U17-U19-U21-U23-U25-U27,IF(COUNTIF(A49:A62,TRUE) = 13,U33-U5-U7-U9-U11-U13-U15-U17-U19-U21-U23-U25-U27-U29,IF(COUNTIF(A49:A62,TRUE) = 14,U33-U5-U7-U9-U11-U13-U15-U17-U19-U21-U23-U25-U27-U29-U31,"falsche Eingabe")))))))))))))))</f>
        <v>8.6805555555555554</v>
      </c>
      <c r="V34" s="117"/>
      <c r="W34" s="118"/>
      <c r="X34" s="116">
        <f>IF(COUNTIF(A49:A62,TRUE)=0,X33,IF(COUNTIF(A49:A62,TRUE)=1,X33-X5,IF(COUNTIF(A49:A62,TRUE)=2,X33-X5-X7,IF(COUNTIF(A49:A62,TRUE) = 3,X33-X5-X7-X9,IF(COUNTIF(A49:A62,TRUE)=4,X33-X5-X7-X9-X11,IF(COUNTIF(A49:A62,TRUE) = 5,X33-X5-X7-X9-X11-X13,IF(COUNTIF(A49:A62,TRUE) = 6,X33-X5-X7-X9-X11-X13-X15,IF(COUNTIF(A49:A62,TRUE) = 7,X33-X5-X7-X9-X11-X13-X15-X17,IF(COUNTIF(A49:A62,TRUE) = 8,X33-X5-X7-X9-X11-X13-X15-X17-X19,IF(COUNTIF(A49:A62,TRUE) = 9,X33-X5-X7-X9-X11-X13-X15-X17-X19-X21,IF(COUNTIF(A49:A62,TRUE) = 10,X33-X5-X7-X9-X11-X13-X15-X17-X19-X21-X23,IF(COUNTIF(A49:A62,TRUE) = 11,X33-X5-X7-X9-X11-X13-X15-X17-X19-X21-X23-X25,IF(COUNTIF(A49:A62,TRUE) = 12,X33-X5-X7-X9-X11-X13-X15-X17-X19-X21-X23-X25-X27,IF(COUNTIF(A49:A62,TRUE) = 13,X33-X5-X7-X9-X11-X13-X15-X17-X19-X21-X23-X25-X27-X29,IF(COUNTIF(A49:A62,TRUE) = 14,X33-X5-X7-X9-X11-X13-X15-X17-X19-X21-X23-X25-X27-X29-X31,"falsche Eingabe")))))))))))))))</f>
        <v>7.0131944444444443</v>
      </c>
      <c r="Y34" s="117"/>
      <c r="Z34" s="118"/>
    </row>
    <row r="35" spans="1:26" ht="21" x14ac:dyDescent="0.35">
      <c r="A35" s="156" t="s">
        <v>41</v>
      </c>
      <c r="B35" s="156"/>
      <c r="C35" s="157">
        <f>COUNTIF(A49:A62,FALSE)</f>
        <v>8</v>
      </c>
      <c r="H35" s="16"/>
      <c r="I35" s="155"/>
      <c r="J35" s="155"/>
      <c r="K35" s="155"/>
    </row>
    <row r="36" spans="1:26" x14ac:dyDescent="0.25">
      <c r="A36" s="156"/>
      <c r="B36" s="156"/>
      <c r="C36" s="157"/>
    </row>
    <row r="41" spans="1:26" x14ac:dyDescent="0.25">
      <c r="E41" s="2"/>
    </row>
    <row r="49" spans="1:1" x14ac:dyDescent="0.25">
      <c r="A49" s="55" t="b">
        <v>1</v>
      </c>
    </row>
    <row r="50" spans="1:1" x14ac:dyDescent="0.25">
      <c r="A50" s="55" t="b">
        <v>1</v>
      </c>
    </row>
    <row r="51" spans="1:1" x14ac:dyDescent="0.25">
      <c r="A51" s="55" t="b">
        <v>1</v>
      </c>
    </row>
    <row r="52" spans="1:1" x14ac:dyDescent="0.25">
      <c r="A52" s="55" t="b">
        <v>1</v>
      </c>
    </row>
    <row r="53" spans="1:1" x14ac:dyDescent="0.25">
      <c r="A53" s="55" t="b">
        <v>1</v>
      </c>
    </row>
    <row r="54" spans="1:1" x14ac:dyDescent="0.25">
      <c r="A54" s="55" t="b">
        <v>1</v>
      </c>
    </row>
    <row r="55" spans="1:1" x14ac:dyDescent="0.25">
      <c r="A55" s="55" t="b">
        <v>0</v>
      </c>
    </row>
    <row r="56" spans="1:1" x14ac:dyDescent="0.25">
      <c r="A56" s="55" t="b">
        <v>0</v>
      </c>
    </row>
    <row r="57" spans="1:1" x14ac:dyDescent="0.25">
      <c r="A57" s="55" t="b">
        <v>0</v>
      </c>
    </row>
    <row r="58" spans="1:1" x14ac:dyDescent="0.25">
      <c r="A58" s="55" t="b">
        <v>0</v>
      </c>
    </row>
    <row r="59" spans="1:1" x14ac:dyDescent="0.25">
      <c r="A59" s="55" t="b">
        <v>0</v>
      </c>
    </row>
    <row r="60" spans="1:1" x14ac:dyDescent="0.25">
      <c r="A60" s="55" t="b">
        <v>0</v>
      </c>
    </row>
    <row r="61" spans="1:1" x14ac:dyDescent="0.25">
      <c r="A61" s="55" t="b">
        <v>0</v>
      </c>
    </row>
    <row r="62" spans="1:1" x14ac:dyDescent="0.25">
      <c r="A62" s="55" t="b">
        <v>0</v>
      </c>
    </row>
  </sheetData>
  <mergeCells count="323"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K31:K32"/>
    <mergeCell ref="I35:K35"/>
    <mergeCell ref="A35:B36"/>
    <mergeCell ref="C35:C36"/>
    <mergeCell ref="I33:K33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H29:H30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L31:L32"/>
    <mergeCell ref="M5:M6"/>
    <mergeCell ref="N5:N6"/>
    <mergeCell ref="O5:O6"/>
    <mergeCell ref="M11:M12"/>
    <mergeCell ref="N11:N12"/>
    <mergeCell ref="O11:O12"/>
    <mergeCell ref="M17:M18"/>
    <mergeCell ref="L17:L18"/>
    <mergeCell ref="L19:L20"/>
    <mergeCell ref="L21:L22"/>
    <mergeCell ref="L23:L24"/>
    <mergeCell ref="L25:L26"/>
    <mergeCell ref="L27:L28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P19:P20"/>
    <mergeCell ref="P11:P12"/>
    <mergeCell ref="M13:M14"/>
    <mergeCell ref="N13:N14"/>
    <mergeCell ref="O13:O14"/>
    <mergeCell ref="P13:P14"/>
    <mergeCell ref="M15:M16"/>
    <mergeCell ref="N15:N16"/>
    <mergeCell ref="O15:O16"/>
    <mergeCell ref="P15:P16"/>
    <mergeCell ref="H3:H4"/>
    <mergeCell ref="I34:K34"/>
    <mergeCell ref="E33:F33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L34:N34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L7:L8"/>
    <mergeCell ref="L9:L10"/>
    <mergeCell ref="L11:L12"/>
    <mergeCell ref="L13:L14"/>
    <mergeCell ref="L15:L16"/>
    <mergeCell ref="L33:N33"/>
    <mergeCell ref="O29:O30"/>
    <mergeCell ref="P29:P30"/>
    <mergeCell ref="O31:O32"/>
    <mergeCell ref="P31:P32"/>
    <mergeCell ref="O25:O26"/>
    <mergeCell ref="P25:P26"/>
    <mergeCell ref="O27:O28"/>
    <mergeCell ref="P27:P28"/>
    <mergeCell ref="T13:T14"/>
    <mergeCell ref="O33:Q33"/>
    <mergeCell ref="O34:Q34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R33:T33"/>
    <mergeCell ref="R34:T34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U17:U18"/>
    <mergeCell ref="V17:V18"/>
    <mergeCell ref="W17:W18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33:W33"/>
    <mergeCell ref="X33:Z33"/>
    <mergeCell ref="U34:W34"/>
    <mergeCell ref="X34:Z34"/>
    <mergeCell ref="U31:U32"/>
    <mergeCell ref="V31:V32"/>
    <mergeCell ref="W31:W32"/>
    <mergeCell ref="X31:X32"/>
    <mergeCell ref="Y31:Y32"/>
    <mergeCell ref="Z31:Z32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6E0F-3090-4111-9C1C-C97D81377208}">
  <sheetPr codeName="Tabelle9"/>
  <dimension ref="A1:H32"/>
  <sheetViews>
    <sheetView workbookViewId="0">
      <selection activeCell="H21" sqref="H21:H22"/>
    </sheetView>
  </sheetViews>
  <sheetFormatPr baseColWidth="10" defaultRowHeight="15" x14ac:dyDescent="0.25"/>
  <cols>
    <col min="3" max="3" width="17.42578125" customWidth="1"/>
    <col min="7" max="7" width="15.140625" customWidth="1"/>
  </cols>
  <sheetData>
    <row r="1" spans="1:8" ht="26.25" x14ac:dyDescent="0.4">
      <c r="A1" s="175" t="s">
        <v>81</v>
      </c>
      <c r="B1" s="175"/>
      <c r="C1" s="175"/>
    </row>
    <row r="3" spans="1:8" x14ac:dyDescent="0.25">
      <c r="B3" s="176"/>
      <c r="C3" s="177" t="s">
        <v>57</v>
      </c>
      <c r="D3" s="177" t="s">
        <v>45</v>
      </c>
      <c r="E3" s="177" t="s">
        <v>58</v>
      </c>
      <c r="F3" s="177" t="s">
        <v>46</v>
      </c>
      <c r="G3" s="177" t="s">
        <v>55</v>
      </c>
      <c r="H3" s="177" t="s">
        <v>47</v>
      </c>
    </row>
    <row r="4" spans="1:8" x14ac:dyDescent="0.25">
      <c r="B4" s="176"/>
      <c r="C4" s="177"/>
      <c r="D4" s="177"/>
      <c r="E4" s="177"/>
      <c r="F4" s="177"/>
      <c r="G4" s="177"/>
      <c r="H4" s="177"/>
    </row>
    <row r="5" spans="1:8" x14ac:dyDescent="0.25">
      <c r="B5" s="166" t="s">
        <v>37</v>
      </c>
      <c r="C5" s="171">
        <f>SUM(Pellekoorne!C4,Gutsche!C4,Lapp!C4,Martschenko!C4,Soboth!C4,Stephan!C4)</f>
        <v>0</v>
      </c>
      <c r="D5" s="171">
        <f>SUM(Pellekoorne!D4,Gutsche!D4,Lapp!D4,Martschenko!D4,Soboth!D4,Stephan!D4)</f>
        <v>0</v>
      </c>
      <c r="E5" s="171">
        <f>SUM(Pellekoorne!E4,Gutsche!E4,Lapp!E4,Martschenko!E4,Soboth!E4,Stephan!E4)</f>
        <v>0.10416666666666667</v>
      </c>
      <c r="F5" s="171">
        <f>SUM(Pellekoorne!F4,Gutsche!F4,Lapp!F4,Martschenko!F4,Soboth!F4,Stephan!F4)</f>
        <v>1.4861111111111112</v>
      </c>
      <c r="G5" s="171">
        <f>SUM(Pellekoorne!G4,Gutsche!G4,Lapp!G4,Martschenko!G4,Soboth!G4,Stephan!G4)</f>
        <v>0.29166666666666663</v>
      </c>
      <c r="H5" s="171">
        <f>SUM(Pellekoorne!H4,Gutsche!H4,Lapp!H4,Martschenko!H4,Soboth!H4,Stephan!H4)</f>
        <v>1.7500000000000002</v>
      </c>
    </row>
    <row r="6" spans="1:8" x14ac:dyDescent="0.25">
      <c r="B6" s="168"/>
      <c r="C6" s="172"/>
      <c r="D6" s="172"/>
      <c r="E6" s="172"/>
      <c r="F6" s="172"/>
      <c r="G6" s="172"/>
      <c r="H6" s="172"/>
    </row>
    <row r="7" spans="1:8" x14ac:dyDescent="0.25">
      <c r="B7" s="173" t="s">
        <v>1</v>
      </c>
      <c r="C7" s="171">
        <f>SUM(Pellekoorne!C6,Gutsche!C6,Lapp!C6,Martschenko!C6,Soboth!C6,Stephan!C6)</f>
        <v>1.2923611111111113</v>
      </c>
      <c r="D7" s="171">
        <f>SUM(Pellekoorne!D6,Gutsche!D6,Lapp!D6,Martschenko!D6,Soboth!D6,Stephan!D6)</f>
        <v>0.12222222222222222</v>
      </c>
      <c r="E7" s="171">
        <f>SUM(Pellekoorne!E6,Gutsche!E6,Lapp!E6,Martschenko!E6,Soboth!E6,Stephan!E6)</f>
        <v>0.51388888888888884</v>
      </c>
      <c r="F7" s="171">
        <f>SUM(Pellekoorne!F6,Gutsche!F6,Lapp!F6,Martschenko!F6,Soboth!F6,Stephan!F6)</f>
        <v>0.3125</v>
      </c>
      <c r="G7" s="171">
        <f>SUM(Pellekoorne!G6,Gutsche!G6,Lapp!G6,Martschenko!G6,Soboth!G6,Stephan!G6)</f>
        <v>1.3611111111111112</v>
      </c>
      <c r="H7" s="171">
        <f>SUM(Pellekoorne!H6,Gutsche!H6,Lapp!H6,Martschenko!H6,Soboth!H6,Stephan!H6)</f>
        <v>0.49999999999999994</v>
      </c>
    </row>
    <row r="8" spans="1:8" x14ac:dyDescent="0.25">
      <c r="B8" s="174"/>
      <c r="C8" s="172"/>
      <c r="D8" s="172"/>
      <c r="E8" s="172"/>
      <c r="F8" s="172"/>
      <c r="G8" s="172"/>
      <c r="H8" s="172"/>
    </row>
    <row r="9" spans="1:8" x14ac:dyDescent="0.25">
      <c r="B9" s="173" t="s">
        <v>2</v>
      </c>
      <c r="C9" s="171">
        <f>SUM(Pellekoorne!C8,Gutsche!C8,Lapp!C8,Martschenko!C8,Soboth!C8,Stephan!C8)</f>
        <v>2.1701388888888888</v>
      </c>
      <c r="D9" s="171">
        <f>SUM(Pellekoorne!D8,Gutsche!D8,Lapp!D8,Martschenko!D8,Soboth!D8,Stephan!D8)</f>
        <v>8.5416666666666669E-2</v>
      </c>
      <c r="E9" s="171">
        <f>SUM(Pellekoorne!E8,Gutsche!E8,Lapp!E8,Martschenko!E8,Soboth!E8,Stephan!E8)</f>
        <v>0.64305555555555571</v>
      </c>
      <c r="F9" s="171">
        <f>SUM(Pellekoorne!F8,Gutsche!F8,Lapp!F8,Martschenko!F8,Soboth!F8,Stephan!F8)</f>
        <v>0.1388888888888889</v>
      </c>
      <c r="G9" s="171">
        <f>SUM(Pellekoorne!G8,Gutsche!G8,Lapp!G8,Martschenko!G8,Soboth!G8,Stephan!G8)</f>
        <v>0.76249999999999996</v>
      </c>
      <c r="H9" s="171">
        <f>SUM(Pellekoorne!H8,Gutsche!H8,Lapp!H8,Martschenko!H8,Soboth!H8,Stephan!H8)</f>
        <v>0.69861111111111096</v>
      </c>
    </row>
    <row r="10" spans="1:8" x14ac:dyDescent="0.25">
      <c r="B10" s="174"/>
      <c r="C10" s="172"/>
      <c r="D10" s="172"/>
      <c r="E10" s="172"/>
      <c r="F10" s="172"/>
      <c r="G10" s="172"/>
      <c r="H10" s="172"/>
    </row>
    <row r="11" spans="1:8" x14ac:dyDescent="0.25">
      <c r="B11" s="173" t="s">
        <v>3</v>
      </c>
      <c r="C11" s="171">
        <f>SUM(Pellekoorne!C10,Gutsche!C10,Lapp!C10,Martschenko!C10,Soboth!C10,Stephan!C10)</f>
        <v>1.9145833333333333</v>
      </c>
      <c r="D11" s="171">
        <f>SUM(Pellekoorne!D10,Gutsche!D10,Lapp!D10,Martschenko!D10,Soboth!D10,Stephan!D10)</f>
        <v>0.13194444444444445</v>
      </c>
      <c r="E11" s="171">
        <f>SUM(Pellekoorne!E10,Gutsche!E10,Lapp!E10,Martschenko!E10,Soboth!E10,Stephan!E10)</f>
        <v>0.3125</v>
      </c>
      <c r="F11" s="171">
        <f>SUM(Pellekoorne!F10,Gutsche!F10,Lapp!F10,Martschenko!F10,Soboth!F10,Stephan!F10)</f>
        <v>0.39097222222222228</v>
      </c>
      <c r="G11" s="171">
        <f>SUM(Pellekoorne!G10,Gutsche!G10,Lapp!G10,Martschenko!G10,Soboth!G10,Stephan!G10)</f>
        <v>0.66666666666666663</v>
      </c>
      <c r="H11" s="171">
        <f>SUM(Pellekoorne!H10,Gutsche!H10,Lapp!H10,Martschenko!H10,Soboth!H10,Stephan!H10)</f>
        <v>0.51041666666666663</v>
      </c>
    </row>
    <row r="12" spans="1:8" x14ac:dyDescent="0.25">
      <c r="B12" s="174"/>
      <c r="C12" s="172"/>
      <c r="D12" s="172"/>
      <c r="E12" s="172"/>
      <c r="F12" s="172"/>
      <c r="G12" s="172"/>
      <c r="H12" s="172"/>
    </row>
    <row r="13" spans="1:8" x14ac:dyDescent="0.25">
      <c r="B13" s="173" t="s">
        <v>4</v>
      </c>
      <c r="C13" s="171">
        <f>SUM(Pellekoorne!C12,Gutsche!C12,Lapp!C12,Martschenko!C12,Soboth!C12,Stephan!C12)</f>
        <v>2.0562499999999999</v>
      </c>
      <c r="D13" s="171">
        <f>SUM(Pellekoorne!D12,Gutsche!D12,Lapp!D12,Martschenko!D12,Soboth!D12,Stephan!D12)</f>
        <v>0.13819444444444445</v>
      </c>
      <c r="E13" s="171">
        <f>SUM(Pellekoorne!E12,Gutsche!E12,Lapp!E12,Martschenko!E12,Soboth!E12,Stephan!E12)</f>
        <v>0.2013888888888889</v>
      </c>
      <c r="F13" s="171">
        <f>SUM(Pellekoorne!F12,Gutsche!F12,Lapp!F12,Martschenko!F12,Soboth!F12,Stephan!F12)</f>
        <v>0.35416666666666669</v>
      </c>
      <c r="G13" s="171">
        <f>SUM(Pellekoorne!G12,Gutsche!G12,Lapp!G12,Martschenko!G12,Soboth!G12,Stephan!G12)</f>
        <v>0.4548611111111111</v>
      </c>
      <c r="H13" s="171">
        <f>SUM(Pellekoorne!H12,Gutsche!H12,Lapp!H12,Martschenko!H12,Soboth!H12,Stephan!H12)</f>
        <v>0.41666666666666663</v>
      </c>
    </row>
    <row r="14" spans="1:8" x14ac:dyDescent="0.25">
      <c r="B14" s="174"/>
      <c r="C14" s="172"/>
      <c r="D14" s="172"/>
      <c r="E14" s="172"/>
      <c r="F14" s="172"/>
      <c r="G14" s="172"/>
      <c r="H14" s="172"/>
    </row>
    <row r="15" spans="1:8" x14ac:dyDescent="0.25">
      <c r="B15" s="173" t="s">
        <v>5</v>
      </c>
      <c r="C15" s="171">
        <f>SUM(Pellekoorne!C14,Gutsche!C14,Lapp!C14,Martschenko!C14,Soboth!C14,Stephan!C14)</f>
        <v>1.4437500000000001</v>
      </c>
      <c r="D15" s="171">
        <f>SUM(Pellekoorne!D14,Gutsche!D14,Lapp!D14,Martschenko!D14,Soboth!D14,Stephan!D14)</f>
        <v>0.22430555555555554</v>
      </c>
      <c r="E15" s="171">
        <f>SUM(Pellekoorne!E14,Gutsche!E14,Lapp!E14,Martschenko!E14,Soboth!E14,Stephan!E14)</f>
        <v>8.3333333333333329E-2</v>
      </c>
      <c r="F15" s="171">
        <f>SUM(Pellekoorne!F14,Gutsche!F14,Lapp!F14,Martschenko!F14,Soboth!F14,Stephan!F14)</f>
        <v>0</v>
      </c>
      <c r="G15" s="171">
        <f>SUM(Pellekoorne!G14,Gutsche!G14,Lapp!G14,Martschenko!G14,Soboth!G14,Stephan!G14)</f>
        <v>0.64861111111111114</v>
      </c>
      <c r="H15" s="171">
        <f>SUM(Pellekoorne!H14,Gutsche!H14,Lapp!H14,Martschenko!H14,Soboth!H14,Stephan!H14)</f>
        <v>0.71527777777777768</v>
      </c>
    </row>
    <row r="16" spans="1:8" x14ac:dyDescent="0.25">
      <c r="B16" s="174"/>
      <c r="C16" s="172"/>
      <c r="D16" s="172"/>
      <c r="E16" s="172"/>
      <c r="F16" s="172"/>
      <c r="G16" s="172"/>
      <c r="H16" s="172"/>
    </row>
    <row r="17" spans="2:8" x14ac:dyDescent="0.25">
      <c r="B17" s="173" t="s">
        <v>6</v>
      </c>
      <c r="C17" s="171">
        <f>SUM(Pellekoorne!C16,Gutsche!C16,Lapp!C16,Martschenko!C16,Soboth!C16,Stephan!C16)</f>
        <v>0</v>
      </c>
      <c r="D17" s="171">
        <f>SUM(Pellekoorne!D16,Gutsche!D16,Lapp!D16,Martschenko!D16,Soboth!D16,Stephan!D16)</f>
        <v>0</v>
      </c>
      <c r="E17" s="171">
        <f>SUM(Pellekoorne!E16,Gutsche!E16,Lapp!E16,Martschenko!E16,Soboth!E16,Stephan!E16)</f>
        <v>0</v>
      </c>
      <c r="F17" s="171">
        <f>SUM(Pellekoorne!F16,Gutsche!F16,Lapp!F16,Martschenko!F16,Soboth!F16,Stephan!F16)</f>
        <v>0</v>
      </c>
      <c r="G17" s="171">
        <f>SUM(Pellekoorne!G16,Gutsche!G16,Lapp!G16,Martschenko!G16,Soboth!G16,Stephan!G16)</f>
        <v>0</v>
      </c>
      <c r="H17" s="171">
        <f>SUM(Pellekoorne!H16,Gutsche!H16,Lapp!H16,Martschenko!H16,Soboth!H16,Stephan!H16)</f>
        <v>0</v>
      </c>
    </row>
    <row r="18" spans="2:8" x14ac:dyDescent="0.25">
      <c r="B18" s="174"/>
      <c r="C18" s="172"/>
      <c r="D18" s="172"/>
      <c r="E18" s="172"/>
      <c r="F18" s="172"/>
      <c r="G18" s="172"/>
      <c r="H18" s="172"/>
    </row>
    <row r="19" spans="2:8" x14ac:dyDescent="0.25">
      <c r="B19" s="173" t="s">
        <v>28</v>
      </c>
      <c r="C19" s="171">
        <f>SUM(Pellekoorne!C18,Gutsche!C18,Lapp!C18,Martschenko!C18,Soboth!C18,Stephan!C18)</f>
        <v>0</v>
      </c>
      <c r="D19" s="171">
        <f>SUM(Pellekoorne!D18,Gutsche!D18,Lapp!D18,Martschenko!D18,Soboth!D18,Stephan!D18)</f>
        <v>0</v>
      </c>
      <c r="E19" s="171">
        <f>SUM(Pellekoorne!E18,Gutsche!E18,Lapp!E18,Martschenko!E18,Soboth!E18,Stephan!E18)</f>
        <v>0</v>
      </c>
      <c r="F19" s="171">
        <f>SUM(Pellekoorne!F18,Gutsche!F18,Lapp!F18,Martschenko!F18,Soboth!F18,Stephan!F18)</f>
        <v>0</v>
      </c>
      <c r="G19" s="171">
        <f>SUM(Pellekoorne!G18,Gutsche!G18,Lapp!G18,Martschenko!G18,Soboth!G18,Stephan!G18)</f>
        <v>0</v>
      </c>
      <c r="H19" s="171">
        <f>SUM(Pellekoorne!H18,Gutsche!H18,Lapp!H18,Martschenko!H18,Soboth!H18,Stephan!H18)</f>
        <v>0</v>
      </c>
    </row>
    <row r="20" spans="2:8" x14ac:dyDescent="0.25">
      <c r="B20" s="174"/>
      <c r="C20" s="172"/>
      <c r="D20" s="172"/>
      <c r="E20" s="172"/>
      <c r="F20" s="172"/>
      <c r="G20" s="172"/>
      <c r="H20" s="172"/>
    </row>
    <row r="21" spans="2:8" x14ac:dyDescent="0.25">
      <c r="B21" s="173" t="s">
        <v>29</v>
      </c>
      <c r="C21" s="171">
        <f>SUM(Pellekoorne!C20,Gutsche!C20,Lapp!C20,Martschenko!C20,Soboth!C20,Stephan!C20)</f>
        <v>0</v>
      </c>
      <c r="D21" s="171">
        <f>SUM(Pellekoorne!D20,Gutsche!D20,Lapp!D20,Martschenko!D20,Soboth!D20,Stephan!D20)</f>
        <v>0</v>
      </c>
      <c r="E21" s="171">
        <f>SUM(Pellekoorne!E20,Gutsche!E20,Lapp!E20,Martschenko!E20,Soboth!E20,Stephan!E20)</f>
        <v>0</v>
      </c>
      <c r="F21" s="171">
        <f>SUM(Pellekoorne!F20,Gutsche!F20,Lapp!F20,Martschenko!F20,Soboth!F20,Stephan!F20)</f>
        <v>0</v>
      </c>
      <c r="G21" s="171">
        <f>SUM(Pellekoorne!G20,Gutsche!G20,Lapp!G20,Martschenko!G20,Soboth!G20,Stephan!G20)</f>
        <v>0</v>
      </c>
      <c r="H21" s="171">
        <f>SUM(Pellekoorne!H20,Gutsche!H20,Lapp!H20,Martschenko!H20,Soboth!H20,Stephan!H20)</f>
        <v>0</v>
      </c>
    </row>
    <row r="22" spans="2:8" x14ac:dyDescent="0.25">
      <c r="B22" s="174"/>
      <c r="C22" s="172"/>
      <c r="D22" s="172"/>
      <c r="E22" s="172"/>
      <c r="F22" s="172"/>
      <c r="G22" s="172"/>
      <c r="H22" s="172"/>
    </row>
    <row r="23" spans="2:8" x14ac:dyDescent="0.25">
      <c r="B23" s="173" t="s">
        <v>30</v>
      </c>
      <c r="C23" s="171">
        <f>SUM(Pellekoorne!C22,Gutsche!C22,Lapp!C22,Martschenko!C22,Soboth!C22,Stephan!C22)</f>
        <v>0</v>
      </c>
      <c r="D23" s="171">
        <f>SUM(Pellekoorne!D22,Gutsche!D22,Lapp!D22,Martschenko!D22,Soboth!D22,Stephan!D22)</f>
        <v>0</v>
      </c>
      <c r="E23" s="171">
        <f>SUM(Pellekoorne!E22,Gutsche!E22,Lapp!E22,Martschenko!E22,Soboth!E22,Stephan!E22)</f>
        <v>0</v>
      </c>
      <c r="F23" s="171">
        <f>SUM(Pellekoorne!F22,Gutsche!F22,Lapp!F22,Martschenko!F22,Soboth!F22,Stephan!F22)</f>
        <v>0</v>
      </c>
      <c r="G23" s="171">
        <f>SUM(Pellekoorne!G22,Gutsche!G22,Lapp!G22,Martschenko!G22,Soboth!G22,Stephan!G22)</f>
        <v>0</v>
      </c>
      <c r="H23" s="171">
        <f>SUM(Pellekoorne!H22,Gutsche!H22,Lapp!H22,Martschenko!H22,Soboth!H22,Stephan!H22)</f>
        <v>0</v>
      </c>
    </row>
    <row r="24" spans="2:8" x14ac:dyDescent="0.25">
      <c r="B24" s="174"/>
      <c r="C24" s="172"/>
      <c r="D24" s="172"/>
      <c r="E24" s="172"/>
      <c r="F24" s="172"/>
      <c r="G24" s="172"/>
      <c r="H24" s="172"/>
    </row>
    <row r="25" spans="2:8" x14ac:dyDescent="0.25">
      <c r="B25" s="173" t="s">
        <v>31</v>
      </c>
      <c r="C25" s="171">
        <f>SUM(Pellekoorne!C24,Gutsche!C24,Lapp!C24,Martschenko!C24,Soboth!C24,Stephan!C24)</f>
        <v>0</v>
      </c>
      <c r="D25" s="171">
        <f>SUM(Pellekoorne!D24,Gutsche!D24,Lapp!D24,Martschenko!D24,Soboth!D24,Stephan!D24)</f>
        <v>0</v>
      </c>
      <c r="E25" s="171">
        <f>SUM(Pellekoorne!E24,Gutsche!E24,Lapp!E24,Martschenko!E24,Soboth!E24,Stephan!E24)</f>
        <v>0</v>
      </c>
      <c r="F25" s="171">
        <f>SUM(Pellekoorne!F24,Gutsche!F24,Lapp!F24,Martschenko!F24,Soboth!F24,Stephan!F24)</f>
        <v>0</v>
      </c>
      <c r="G25" s="171">
        <f>SUM(Pellekoorne!G24,Gutsche!G24,Lapp!G24,Martschenko!G24,Soboth!G24,Stephan!G24)</f>
        <v>0</v>
      </c>
      <c r="H25" s="171">
        <f>SUM(Pellekoorne!H24,Gutsche!H24,Lapp!H24,Martschenko!H24,Soboth!H24,Stephan!H24)</f>
        <v>0</v>
      </c>
    </row>
    <row r="26" spans="2:8" x14ac:dyDescent="0.25">
      <c r="B26" s="174"/>
      <c r="C26" s="172"/>
      <c r="D26" s="172"/>
      <c r="E26" s="172"/>
      <c r="F26" s="172"/>
      <c r="G26" s="172"/>
      <c r="H26" s="172"/>
    </row>
    <row r="27" spans="2:8" x14ac:dyDescent="0.25">
      <c r="B27" s="173" t="s">
        <v>32</v>
      </c>
      <c r="C27" s="171">
        <f>SUM(Pellekoorne!C26,Gutsche!C26,Lapp!C26,Martschenko!C26,Soboth!C26,Stephan!C26)</f>
        <v>0</v>
      </c>
      <c r="D27" s="171">
        <f>SUM(Pellekoorne!D26,Gutsche!D26,Lapp!D26,Martschenko!D26,Soboth!D26,Stephan!D26)</f>
        <v>0</v>
      </c>
      <c r="E27" s="171">
        <f>SUM(Pellekoorne!E26,Gutsche!E26,Lapp!E26,Martschenko!E26,Soboth!E26,Stephan!E26)</f>
        <v>0</v>
      </c>
      <c r="F27" s="171">
        <f>SUM(Pellekoorne!F26,Gutsche!F26,Lapp!F26,Martschenko!F26,Soboth!F26,Stephan!F26)</f>
        <v>0</v>
      </c>
      <c r="G27" s="171">
        <f>SUM(Pellekoorne!G26,Gutsche!G26,Lapp!G26,Martschenko!G26,Soboth!G26,Stephan!G26)</f>
        <v>0</v>
      </c>
      <c r="H27" s="171">
        <f>SUM(Pellekoorne!H26,Gutsche!H26,Lapp!H26,Martschenko!H26,Soboth!H26,Stephan!H26)</f>
        <v>0</v>
      </c>
    </row>
    <row r="28" spans="2:8" x14ac:dyDescent="0.25">
      <c r="B28" s="174"/>
      <c r="C28" s="172"/>
      <c r="D28" s="172"/>
      <c r="E28" s="172"/>
      <c r="F28" s="172"/>
      <c r="G28" s="172"/>
      <c r="H28" s="172"/>
    </row>
    <row r="29" spans="2:8" x14ac:dyDescent="0.25">
      <c r="B29" s="173" t="s">
        <v>33</v>
      </c>
      <c r="C29" s="171">
        <f>SUM(Pellekoorne!C28,Gutsche!C28,Lapp!C28,Martschenko!C28,Soboth!C28,Stephan!C28)</f>
        <v>0</v>
      </c>
      <c r="D29" s="171">
        <f>SUM(Pellekoorne!D28,Gutsche!D28,Lapp!D28,Martschenko!D28,Soboth!D28,Stephan!D28)</f>
        <v>0</v>
      </c>
      <c r="E29" s="171">
        <f>SUM(Pellekoorne!E28,Gutsche!E28,Lapp!E28,Martschenko!E28,Soboth!E28,Stephan!E28)</f>
        <v>0</v>
      </c>
      <c r="F29" s="171">
        <f>SUM(Pellekoorne!F28,Gutsche!F28,Lapp!F28,Martschenko!F28,Soboth!F28,Stephan!F28)</f>
        <v>0</v>
      </c>
      <c r="G29" s="171">
        <f>SUM(Pellekoorne!G28,Gutsche!G28,Lapp!G28,Martschenko!G28,Soboth!G28,Stephan!G28)</f>
        <v>0</v>
      </c>
      <c r="H29" s="171">
        <f>SUM(Pellekoorne!H28,Gutsche!H28,Lapp!H28,Martschenko!H28,Soboth!H28,Stephan!H28)</f>
        <v>0</v>
      </c>
    </row>
    <row r="30" spans="2:8" x14ac:dyDescent="0.25">
      <c r="B30" s="174"/>
      <c r="C30" s="172"/>
      <c r="D30" s="172"/>
      <c r="E30" s="172"/>
      <c r="F30" s="172"/>
      <c r="G30" s="172"/>
      <c r="H30" s="172"/>
    </row>
    <row r="31" spans="2:8" x14ac:dyDescent="0.25">
      <c r="B31" s="173" t="s">
        <v>34</v>
      </c>
      <c r="C31" s="171">
        <f>SUM(Pellekoorne!C30,Gutsche!C30,Lapp!C30,Martschenko!C30,Soboth!C30,Stephan!C30)</f>
        <v>0</v>
      </c>
      <c r="D31" s="171">
        <f>SUM(Pellekoorne!D30,Gutsche!D30,Lapp!D30,Martschenko!D30,Soboth!D30,Stephan!D30)</f>
        <v>0</v>
      </c>
      <c r="E31" s="171">
        <f>SUM(Pellekoorne!E30,Gutsche!E30,Lapp!E30,Martschenko!E30,Soboth!E30,Stephan!E30)</f>
        <v>0</v>
      </c>
      <c r="F31" s="171">
        <f>SUM(Pellekoorne!F30,Gutsche!F30,Lapp!F30,Martschenko!F30,Soboth!F30,Stephan!F30)</f>
        <v>0</v>
      </c>
      <c r="G31" s="171">
        <f>SUM(Pellekoorne!G30,Gutsche!G30,Lapp!G30,Martschenko!G30,Soboth!G30,Stephan!G30)</f>
        <v>0</v>
      </c>
      <c r="H31" s="171">
        <f>SUM(Pellekoorne!H30,Gutsche!H30,Lapp!H30,Martschenko!H30,Soboth!H30,Stephan!H30)</f>
        <v>0</v>
      </c>
    </row>
    <row r="32" spans="2:8" x14ac:dyDescent="0.25">
      <c r="B32" s="174"/>
      <c r="C32" s="172"/>
      <c r="D32" s="172"/>
      <c r="E32" s="172"/>
      <c r="F32" s="172"/>
      <c r="G32" s="172"/>
      <c r="H32" s="172"/>
    </row>
  </sheetData>
  <mergeCells count="106">
    <mergeCell ref="A1:C1"/>
    <mergeCell ref="B3:B4"/>
    <mergeCell ref="C3:C4"/>
    <mergeCell ref="D3:D4"/>
    <mergeCell ref="E3:E4"/>
    <mergeCell ref="F3:F4"/>
    <mergeCell ref="G3:G4"/>
    <mergeCell ref="H3:H4"/>
    <mergeCell ref="B5:B6"/>
    <mergeCell ref="C5:C6"/>
    <mergeCell ref="D5:D6"/>
    <mergeCell ref="E5:E6"/>
    <mergeCell ref="F5:F6"/>
    <mergeCell ref="G5:G6"/>
    <mergeCell ref="H5:H6"/>
    <mergeCell ref="H7:H8"/>
    <mergeCell ref="B9:B10"/>
    <mergeCell ref="C9:C10"/>
    <mergeCell ref="D9:D10"/>
    <mergeCell ref="E9:E10"/>
    <mergeCell ref="F9:F10"/>
    <mergeCell ref="G9:G10"/>
    <mergeCell ref="H9:H10"/>
    <mergeCell ref="B7:B8"/>
    <mergeCell ref="C7:C8"/>
    <mergeCell ref="D7:D8"/>
    <mergeCell ref="E7:E8"/>
    <mergeCell ref="F7:F8"/>
    <mergeCell ref="G7:G8"/>
    <mergeCell ref="H11:H12"/>
    <mergeCell ref="B13:B14"/>
    <mergeCell ref="C13:C14"/>
    <mergeCell ref="D13:D14"/>
    <mergeCell ref="E13:E14"/>
    <mergeCell ref="F13:F14"/>
    <mergeCell ref="G13:G14"/>
    <mergeCell ref="H13:H14"/>
    <mergeCell ref="B11:B12"/>
    <mergeCell ref="C11:C12"/>
    <mergeCell ref="D11:D12"/>
    <mergeCell ref="E11:E12"/>
    <mergeCell ref="F11:F12"/>
    <mergeCell ref="G11:G12"/>
    <mergeCell ref="H15:H16"/>
    <mergeCell ref="B17:B18"/>
    <mergeCell ref="C17:C18"/>
    <mergeCell ref="D17:D18"/>
    <mergeCell ref="E17:E18"/>
    <mergeCell ref="F17:F18"/>
    <mergeCell ref="G17:G18"/>
    <mergeCell ref="H17:H18"/>
    <mergeCell ref="B15:B16"/>
    <mergeCell ref="C15:C16"/>
    <mergeCell ref="D15:D16"/>
    <mergeCell ref="E15:E16"/>
    <mergeCell ref="F15:F16"/>
    <mergeCell ref="G15:G16"/>
    <mergeCell ref="H19:H20"/>
    <mergeCell ref="B21:B22"/>
    <mergeCell ref="C21:C22"/>
    <mergeCell ref="D21:D22"/>
    <mergeCell ref="E21:E22"/>
    <mergeCell ref="F21:F22"/>
    <mergeCell ref="G21:G22"/>
    <mergeCell ref="H21:H22"/>
    <mergeCell ref="B19:B20"/>
    <mergeCell ref="C19:C20"/>
    <mergeCell ref="D19:D20"/>
    <mergeCell ref="E19:E20"/>
    <mergeCell ref="F19:F20"/>
    <mergeCell ref="G19:G20"/>
    <mergeCell ref="H23:H24"/>
    <mergeCell ref="B25:B26"/>
    <mergeCell ref="C25:C26"/>
    <mergeCell ref="D25:D26"/>
    <mergeCell ref="E25:E26"/>
    <mergeCell ref="F25:F26"/>
    <mergeCell ref="G25:G26"/>
    <mergeCell ref="H25:H26"/>
    <mergeCell ref="B23:B24"/>
    <mergeCell ref="C23:C24"/>
    <mergeCell ref="D23:D24"/>
    <mergeCell ref="E23:E24"/>
    <mergeCell ref="F23:F24"/>
    <mergeCell ref="G23:G24"/>
    <mergeCell ref="H31:H32"/>
    <mergeCell ref="B31:B32"/>
    <mergeCell ref="C31:C32"/>
    <mergeCell ref="D31:D32"/>
    <mergeCell ref="E31:E32"/>
    <mergeCell ref="F31:F32"/>
    <mergeCell ref="G31:G32"/>
    <mergeCell ref="H27:H28"/>
    <mergeCell ref="B29:B30"/>
    <mergeCell ref="C29:C30"/>
    <mergeCell ref="D29:D30"/>
    <mergeCell ref="E29:E30"/>
    <mergeCell ref="F29:F30"/>
    <mergeCell ref="G29:G30"/>
    <mergeCell ref="H29:H30"/>
    <mergeCell ref="B27:B28"/>
    <mergeCell ref="C27:C28"/>
    <mergeCell ref="D27:D28"/>
    <mergeCell ref="E27:E28"/>
    <mergeCell ref="F27:F28"/>
    <mergeCell ref="G27:G28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4E6C-B132-4B46-BEC4-D3AD40D07B25}">
  <sheetPr codeName="Tabelle10"/>
  <dimension ref="B4:S100"/>
  <sheetViews>
    <sheetView workbookViewId="0">
      <selection activeCell="D15" sqref="D15"/>
    </sheetView>
  </sheetViews>
  <sheetFormatPr baseColWidth="10" defaultRowHeight="15" x14ac:dyDescent="0.25"/>
  <cols>
    <col min="2" max="2" width="49" customWidth="1"/>
    <col min="4" max="4" width="22.42578125" customWidth="1"/>
  </cols>
  <sheetData>
    <row r="4" spans="2:19" ht="15.75" thickBot="1" x14ac:dyDescent="0.3"/>
    <row r="5" spans="2:19" x14ac:dyDescent="0.25">
      <c r="B5" s="97" t="s">
        <v>5</v>
      </c>
      <c r="C5" s="98"/>
      <c r="D5" s="100"/>
      <c r="E5" s="97" t="s">
        <v>4</v>
      </c>
      <c r="F5" s="98"/>
      <c r="G5" s="100"/>
      <c r="H5" s="97" t="s">
        <v>3</v>
      </c>
      <c r="I5" s="98"/>
      <c r="J5" s="100"/>
      <c r="K5" s="97" t="s">
        <v>2</v>
      </c>
      <c r="L5" s="98"/>
      <c r="M5" s="100"/>
      <c r="N5" s="97" t="s">
        <v>1</v>
      </c>
      <c r="O5" s="98"/>
      <c r="P5" s="100"/>
      <c r="Q5" s="107" t="s">
        <v>37</v>
      </c>
      <c r="R5" s="106"/>
      <c r="S5" s="108"/>
    </row>
    <row r="6" spans="2:19" x14ac:dyDescent="0.25">
      <c r="B6" s="71" t="s">
        <v>59</v>
      </c>
      <c r="C6" s="51" t="s">
        <v>60</v>
      </c>
      <c r="D6" s="101" t="s">
        <v>85</v>
      </c>
      <c r="E6" s="71" t="s">
        <v>59</v>
      </c>
      <c r="F6" s="51" t="s">
        <v>60</v>
      </c>
      <c r="G6" s="101" t="s">
        <v>85</v>
      </c>
      <c r="H6" s="71" t="s">
        <v>59</v>
      </c>
      <c r="I6" s="51" t="s">
        <v>60</v>
      </c>
      <c r="J6" s="101" t="s">
        <v>85</v>
      </c>
      <c r="K6" s="71" t="s">
        <v>59</v>
      </c>
      <c r="L6" s="51" t="s">
        <v>60</v>
      </c>
      <c r="M6" s="101" t="s">
        <v>85</v>
      </c>
      <c r="N6" s="71" t="s">
        <v>59</v>
      </c>
      <c r="O6" s="51" t="s">
        <v>60</v>
      </c>
      <c r="P6" s="101" t="s">
        <v>85</v>
      </c>
      <c r="Q6" s="71" t="s">
        <v>59</v>
      </c>
      <c r="R6" s="51" t="s">
        <v>60</v>
      </c>
      <c r="S6" s="109" t="s">
        <v>85</v>
      </c>
    </row>
    <row r="7" spans="2:19" x14ac:dyDescent="0.25">
      <c r="B7" t="s">
        <v>259</v>
      </c>
      <c r="C7" s="89">
        <v>2.0833333333333332E-2</v>
      </c>
      <c r="D7" t="s">
        <v>86</v>
      </c>
      <c r="E7" t="s">
        <v>235</v>
      </c>
      <c r="F7" s="89">
        <v>8.4027777777777771E-2</v>
      </c>
      <c r="G7" t="s">
        <v>98</v>
      </c>
      <c r="H7" s="96" t="s">
        <v>198</v>
      </c>
      <c r="I7" s="93">
        <v>0.13194444444444445</v>
      </c>
      <c r="J7" s="2" t="s">
        <v>86</v>
      </c>
      <c r="K7" s="96" t="s">
        <v>139</v>
      </c>
      <c r="L7" s="93">
        <v>0.13194444444444445</v>
      </c>
      <c r="M7" s="2" t="s">
        <v>86</v>
      </c>
      <c r="N7" s="96" t="s">
        <v>87</v>
      </c>
      <c r="O7" s="93">
        <v>1.7361111111111112E-2</v>
      </c>
      <c r="P7" s="2" t="s">
        <v>86</v>
      </c>
      <c r="Q7" s="96" t="s">
        <v>61</v>
      </c>
      <c r="R7" s="93">
        <v>8.3333333333333329E-2</v>
      </c>
      <c r="S7" s="33" t="s">
        <v>86</v>
      </c>
    </row>
    <row r="8" spans="2:19" x14ac:dyDescent="0.25">
      <c r="B8" t="s">
        <v>258</v>
      </c>
      <c r="C8" s="89">
        <v>8.3333333333333329E-2</v>
      </c>
      <c r="D8" t="s">
        <v>103</v>
      </c>
      <c r="E8" t="s">
        <v>92</v>
      </c>
      <c r="F8" s="89">
        <v>4.1666666666666664E-2</v>
      </c>
      <c r="G8" t="s">
        <v>86</v>
      </c>
      <c r="H8" s="96" t="s">
        <v>199</v>
      </c>
      <c r="I8" s="93">
        <v>9.0277777777777776E-2</v>
      </c>
      <c r="J8" s="2" t="s">
        <v>86</v>
      </c>
      <c r="K8" s="102" t="s">
        <v>140</v>
      </c>
      <c r="L8" s="93">
        <v>9.0277777777777776E-2</v>
      </c>
      <c r="M8" s="2" t="s">
        <v>86</v>
      </c>
      <c r="N8" s="96" t="s">
        <v>88</v>
      </c>
      <c r="O8" s="93">
        <v>6.25E-2</v>
      </c>
      <c r="P8" s="2" t="s">
        <v>86</v>
      </c>
      <c r="Q8" s="96" t="s">
        <v>62</v>
      </c>
      <c r="R8" s="93">
        <v>0.16666666666666666</v>
      </c>
      <c r="S8" s="33" t="s">
        <v>86</v>
      </c>
    </row>
    <row r="9" spans="2:19" x14ac:dyDescent="0.25">
      <c r="B9" t="s">
        <v>271</v>
      </c>
      <c r="C9" s="89">
        <v>0.17986111111111111</v>
      </c>
      <c r="D9" t="s">
        <v>103</v>
      </c>
      <c r="E9" t="s">
        <v>236</v>
      </c>
      <c r="F9" s="89">
        <v>2.7777777777777776E-2</v>
      </c>
      <c r="G9" t="s">
        <v>100</v>
      </c>
      <c r="H9" s="96" t="s">
        <v>200</v>
      </c>
      <c r="I9" s="93">
        <v>0.17361111111111113</v>
      </c>
      <c r="J9" s="2" t="s">
        <v>86</v>
      </c>
      <c r="K9" s="103" t="s">
        <v>141</v>
      </c>
      <c r="L9" s="93">
        <v>0.10416666666666667</v>
      </c>
      <c r="M9" s="2" t="s">
        <v>86</v>
      </c>
      <c r="N9" s="96" t="s">
        <v>89</v>
      </c>
      <c r="O9" s="93">
        <v>6.5972222222222224E-2</v>
      </c>
      <c r="P9" s="2" t="s">
        <v>86</v>
      </c>
      <c r="Q9" s="96" t="s">
        <v>63</v>
      </c>
      <c r="R9" s="93">
        <v>0.125</v>
      </c>
      <c r="S9" s="33" t="s">
        <v>86</v>
      </c>
    </row>
    <row r="10" spans="2:19" x14ac:dyDescent="0.25">
      <c r="B10" t="s">
        <v>271</v>
      </c>
      <c r="C10" s="89">
        <v>5.2083333333333336E-2</v>
      </c>
      <c r="D10" t="s">
        <v>98</v>
      </c>
      <c r="E10" t="s">
        <v>237</v>
      </c>
      <c r="F10" s="89">
        <v>0.10416666666666667</v>
      </c>
      <c r="G10" t="s">
        <v>100</v>
      </c>
      <c r="H10" s="96" t="s">
        <v>201</v>
      </c>
      <c r="I10" s="93">
        <v>2.0833333333333332E-2</v>
      </c>
      <c r="J10" s="2" t="s">
        <v>86</v>
      </c>
      <c r="K10" s="102" t="s">
        <v>142</v>
      </c>
      <c r="L10" s="93">
        <v>0.13194444444444445</v>
      </c>
      <c r="M10" s="2" t="s">
        <v>86</v>
      </c>
      <c r="N10" s="96" t="s">
        <v>90</v>
      </c>
      <c r="O10" s="93">
        <v>1.7361111111111112E-2</v>
      </c>
      <c r="P10" s="2" t="s">
        <v>86</v>
      </c>
      <c r="Q10" s="96" t="s">
        <v>64</v>
      </c>
      <c r="R10" s="93">
        <v>9.375E-2</v>
      </c>
      <c r="S10" s="41" t="s">
        <v>98</v>
      </c>
    </row>
    <row r="11" spans="2:19" x14ac:dyDescent="0.25">
      <c r="B11" t="s">
        <v>272</v>
      </c>
      <c r="C11" s="89">
        <v>8.3333333333333329E-2</v>
      </c>
      <c r="D11" t="s">
        <v>100</v>
      </c>
      <c r="E11" t="s">
        <v>239</v>
      </c>
      <c r="F11" s="89">
        <v>0.10416666666666667</v>
      </c>
      <c r="G11" t="s">
        <v>100</v>
      </c>
      <c r="H11" s="96" t="s">
        <v>202</v>
      </c>
      <c r="I11" s="93">
        <v>6.25E-2</v>
      </c>
      <c r="J11" s="2" t="s">
        <v>86</v>
      </c>
      <c r="K11" s="102" t="s">
        <v>143</v>
      </c>
      <c r="L11" s="93">
        <v>8.3333333333333329E-2</v>
      </c>
      <c r="M11" s="2" t="s">
        <v>86</v>
      </c>
      <c r="N11" s="96" t="s">
        <v>91</v>
      </c>
      <c r="O11" s="93">
        <v>2.7777777777777776E-2</v>
      </c>
      <c r="P11" s="2" t="s">
        <v>86</v>
      </c>
      <c r="Q11" s="96" t="s">
        <v>65</v>
      </c>
      <c r="R11" s="93">
        <v>0.25</v>
      </c>
      <c r="S11" s="41" t="s">
        <v>98</v>
      </c>
    </row>
    <row r="12" spans="2:19" x14ac:dyDescent="0.25">
      <c r="B12" t="s">
        <v>273</v>
      </c>
      <c r="C12" s="89">
        <v>4.1666666666666664E-2</v>
      </c>
      <c r="D12" t="s">
        <v>100</v>
      </c>
      <c r="E12" t="s">
        <v>240</v>
      </c>
      <c r="F12" s="89">
        <v>2.7777777777777776E-2</v>
      </c>
      <c r="G12" t="s">
        <v>100</v>
      </c>
      <c r="H12" s="96" t="s">
        <v>203</v>
      </c>
      <c r="I12" s="93">
        <v>2.7777777777777776E-2</v>
      </c>
      <c r="J12" s="2" t="s">
        <v>86</v>
      </c>
      <c r="K12" s="102" t="s">
        <v>144</v>
      </c>
      <c r="L12" s="93">
        <v>1.0416666666666666E-2</v>
      </c>
      <c r="M12" s="2" t="s">
        <v>86</v>
      </c>
      <c r="N12" s="96" t="s">
        <v>92</v>
      </c>
      <c r="O12" s="93">
        <v>0.11458333333333333</v>
      </c>
      <c r="P12" s="2" t="s">
        <v>86</v>
      </c>
      <c r="Q12" s="96" t="s">
        <v>66</v>
      </c>
      <c r="R12" s="93">
        <v>2.0833333333333332E-2</v>
      </c>
      <c r="S12" s="41" t="s">
        <v>98</v>
      </c>
    </row>
    <row r="13" spans="2:19" x14ac:dyDescent="0.25">
      <c r="B13" t="s">
        <v>274</v>
      </c>
      <c r="C13" s="89">
        <v>4.1666666666666664E-2</v>
      </c>
      <c r="D13" t="s">
        <v>100</v>
      </c>
      <c r="E13" t="s">
        <v>241</v>
      </c>
      <c r="F13" s="89">
        <v>0.10416666666666667</v>
      </c>
      <c r="G13" t="s">
        <v>100</v>
      </c>
      <c r="H13" s="96" t="s">
        <v>92</v>
      </c>
      <c r="I13" s="93">
        <v>0.10416666666666667</v>
      </c>
      <c r="J13" s="2" t="s">
        <v>86</v>
      </c>
      <c r="K13" s="102" t="s">
        <v>145</v>
      </c>
      <c r="L13" s="93">
        <v>4.1666666666666664E-2</v>
      </c>
      <c r="M13" s="36" t="s">
        <v>98</v>
      </c>
      <c r="N13" s="96" t="s">
        <v>93</v>
      </c>
      <c r="O13" s="93">
        <v>0.12152777777777778</v>
      </c>
      <c r="P13" s="2" t="s">
        <v>86</v>
      </c>
      <c r="Q13" s="96" t="s">
        <v>67</v>
      </c>
      <c r="R13" s="93">
        <v>0.10069444444444443</v>
      </c>
      <c r="S13" s="41" t="s">
        <v>98</v>
      </c>
    </row>
    <row r="14" spans="2:19" x14ac:dyDescent="0.25">
      <c r="B14" t="s">
        <v>274</v>
      </c>
      <c r="C14" s="89">
        <v>4.1666666666666664E-2</v>
      </c>
      <c r="D14" t="s">
        <v>103</v>
      </c>
      <c r="E14" t="s">
        <v>242</v>
      </c>
      <c r="F14" s="89">
        <v>1.0416666666666666E-2</v>
      </c>
      <c r="G14" t="s">
        <v>103</v>
      </c>
      <c r="H14" s="96" t="s">
        <v>204</v>
      </c>
      <c r="I14" s="93">
        <v>7.7777777777777779E-2</v>
      </c>
      <c r="J14" s="36" t="s">
        <v>98</v>
      </c>
      <c r="K14" s="102" t="s">
        <v>146</v>
      </c>
      <c r="L14" s="93">
        <v>1.0416666666666666E-2</v>
      </c>
      <c r="M14" s="36" t="s">
        <v>98</v>
      </c>
      <c r="N14" s="96" t="s">
        <v>94</v>
      </c>
      <c r="O14" s="93">
        <v>0.11805555555555557</v>
      </c>
      <c r="P14" s="2" t="s">
        <v>86</v>
      </c>
      <c r="Q14" s="96" t="s">
        <v>68</v>
      </c>
      <c r="R14" s="93">
        <v>0.16666666666666666</v>
      </c>
      <c r="S14" s="41" t="s">
        <v>100</v>
      </c>
    </row>
    <row r="15" spans="2:19" x14ac:dyDescent="0.25">
      <c r="B15" t="s">
        <v>275</v>
      </c>
      <c r="C15" s="89">
        <v>0.16666666666666666</v>
      </c>
      <c r="D15" t="s">
        <v>100</v>
      </c>
      <c r="E15" t="s">
        <v>243</v>
      </c>
      <c r="F15" s="89">
        <v>0.22152777777777777</v>
      </c>
      <c r="G15" t="s">
        <v>98</v>
      </c>
      <c r="H15" s="96" t="s">
        <v>205</v>
      </c>
      <c r="I15" s="93">
        <v>1.0416666666666666E-2</v>
      </c>
      <c r="J15" s="36" t="s">
        <v>98</v>
      </c>
      <c r="K15" s="102" t="s">
        <v>147</v>
      </c>
      <c r="L15" s="93">
        <v>1.3888888888888888E-2</v>
      </c>
      <c r="M15" s="36" t="s">
        <v>98</v>
      </c>
      <c r="N15" s="96" t="s">
        <v>95</v>
      </c>
      <c r="O15" s="93">
        <v>0.14583333333333334</v>
      </c>
      <c r="P15" s="2" t="s">
        <v>86</v>
      </c>
      <c r="Q15" s="96" t="s">
        <v>69</v>
      </c>
      <c r="R15" s="93">
        <v>0.16666666666666666</v>
      </c>
      <c r="S15" s="41" t="s">
        <v>100</v>
      </c>
    </row>
    <row r="16" spans="2:19" x14ac:dyDescent="0.25">
      <c r="B16" t="s">
        <v>276</v>
      </c>
      <c r="C16" s="89">
        <v>2.7777777777777776E-2</v>
      </c>
      <c r="D16" t="s">
        <v>100</v>
      </c>
      <c r="E16" t="s">
        <v>244</v>
      </c>
      <c r="F16" s="89">
        <v>2.0833333333333332E-2</v>
      </c>
      <c r="G16" t="s">
        <v>103</v>
      </c>
      <c r="H16" s="96" t="s">
        <v>206</v>
      </c>
      <c r="I16" s="93">
        <v>0.13055555555555556</v>
      </c>
      <c r="J16" s="36" t="s">
        <v>98</v>
      </c>
      <c r="K16" s="104" t="s">
        <v>148</v>
      </c>
      <c r="L16" s="93">
        <v>0.31944444444444448</v>
      </c>
      <c r="M16" s="36" t="s">
        <v>98</v>
      </c>
      <c r="N16" s="96" t="s">
        <v>96</v>
      </c>
      <c r="O16" s="93">
        <v>6.25E-2</v>
      </c>
      <c r="P16" s="2" t="s">
        <v>86</v>
      </c>
      <c r="Q16" s="96" t="s">
        <v>70</v>
      </c>
      <c r="R16" s="93">
        <v>0.16666666666666666</v>
      </c>
      <c r="S16" s="41" t="s">
        <v>101</v>
      </c>
    </row>
    <row r="17" spans="2:19" x14ac:dyDescent="0.25">
      <c r="B17" t="s">
        <v>277</v>
      </c>
      <c r="C17" s="89">
        <v>3.4722222222222224E-2</v>
      </c>
      <c r="D17" t="s">
        <v>103</v>
      </c>
      <c r="E17" t="s">
        <v>245</v>
      </c>
      <c r="F17" s="89">
        <v>7.6388888888888895E-2</v>
      </c>
      <c r="G17" t="s">
        <v>86</v>
      </c>
      <c r="H17" s="96" t="s">
        <v>207</v>
      </c>
      <c r="I17" s="93">
        <v>2.7777777777777776E-2</v>
      </c>
      <c r="J17" s="36" t="s">
        <v>98</v>
      </c>
      <c r="K17" s="102" t="s">
        <v>149</v>
      </c>
      <c r="L17" s="93">
        <v>1.3888888888888888E-2</v>
      </c>
      <c r="M17" s="36" t="s">
        <v>98</v>
      </c>
      <c r="N17" s="96" t="s">
        <v>88</v>
      </c>
      <c r="O17" s="93">
        <v>5.2083333333333336E-2</v>
      </c>
      <c r="P17" s="36" t="s">
        <v>98</v>
      </c>
      <c r="Q17" s="96" t="s">
        <v>71</v>
      </c>
      <c r="R17" s="93">
        <v>0.10416666666666667</v>
      </c>
      <c r="S17" s="41" t="s">
        <v>101</v>
      </c>
    </row>
    <row r="18" spans="2:19" x14ac:dyDescent="0.25">
      <c r="B18" t="s">
        <v>277</v>
      </c>
      <c r="C18" s="89">
        <v>3.4722222222222224E-2</v>
      </c>
      <c r="D18" t="s">
        <v>100</v>
      </c>
      <c r="E18" t="s">
        <v>246</v>
      </c>
      <c r="F18" s="89">
        <v>0.10416666666666667</v>
      </c>
      <c r="G18" t="s">
        <v>101</v>
      </c>
      <c r="H18" s="96" t="s">
        <v>208</v>
      </c>
      <c r="I18" s="93">
        <v>6.9444444444444434E-2</v>
      </c>
      <c r="J18" s="36" t="s">
        <v>98</v>
      </c>
      <c r="K18" s="102" t="s">
        <v>150</v>
      </c>
      <c r="L18" s="93">
        <v>3.4722222222222224E-2</v>
      </c>
      <c r="M18" s="36" t="s">
        <v>98</v>
      </c>
      <c r="N18" s="96" t="s">
        <v>104</v>
      </c>
      <c r="O18" s="93">
        <v>0.1111111111111111</v>
      </c>
      <c r="P18" s="36" t="s">
        <v>98</v>
      </c>
      <c r="Q18" s="96" t="s">
        <v>72</v>
      </c>
      <c r="R18" s="93">
        <v>0.10416666666666667</v>
      </c>
      <c r="S18" s="41" t="s">
        <v>102</v>
      </c>
    </row>
    <row r="19" spans="2:19" x14ac:dyDescent="0.25">
      <c r="B19" t="s">
        <v>277</v>
      </c>
      <c r="C19" s="89">
        <v>3.4722222222222224E-2</v>
      </c>
      <c r="D19" t="s">
        <v>98</v>
      </c>
      <c r="E19" t="s">
        <v>247</v>
      </c>
      <c r="F19" s="89">
        <v>9.9999999999999992E-2</v>
      </c>
      <c r="G19" t="s">
        <v>103</v>
      </c>
      <c r="H19" s="96" t="s">
        <v>209</v>
      </c>
      <c r="I19" s="93">
        <v>2.7777777777777776E-2</v>
      </c>
      <c r="J19" s="36" t="s">
        <v>98</v>
      </c>
      <c r="K19" s="102" t="s">
        <v>149</v>
      </c>
      <c r="L19" s="93">
        <v>1.0416666666666666E-2</v>
      </c>
      <c r="M19" s="36" t="s">
        <v>98</v>
      </c>
      <c r="N19" s="105" t="s">
        <v>105</v>
      </c>
      <c r="O19" s="93">
        <v>5.9027777777777783E-2</v>
      </c>
      <c r="P19" s="36" t="s">
        <v>98</v>
      </c>
      <c r="Q19" s="96" t="s">
        <v>73</v>
      </c>
      <c r="R19" s="93">
        <v>0.10416666666666667</v>
      </c>
      <c r="S19" s="41" t="s">
        <v>102</v>
      </c>
    </row>
    <row r="20" spans="2:19" x14ac:dyDescent="0.25">
      <c r="B20" t="s">
        <v>278</v>
      </c>
      <c r="C20" s="89">
        <v>0.16666666666666666</v>
      </c>
      <c r="D20" t="s">
        <v>101</v>
      </c>
      <c r="E20" t="s">
        <v>248</v>
      </c>
      <c r="F20" s="89">
        <v>0.16666666666666666</v>
      </c>
      <c r="G20" t="s">
        <v>101</v>
      </c>
      <c r="H20" s="96" t="s">
        <v>210</v>
      </c>
      <c r="I20" s="93">
        <v>4.7222222222222221E-2</v>
      </c>
      <c r="J20" s="36" t="s">
        <v>98</v>
      </c>
      <c r="K20" s="102" t="s">
        <v>151</v>
      </c>
      <c r="L20" s="93">
        <v>5.2083333333333336E-2</v>
      </c>
      <c r="M20" s="36" t="s">
        <v>98</v>
      </c>
      <c r="N20" s="96" t="s">
        <v>106</v>
      </c>
      <c r="O20" s="93">
        <v>2.0833333333333332E-2</v>
      </c>
      <c r="P20" s="36" t="s">
        <v>98</v>
      </c>
      <c r="Q20" s="96" t="s">
        <v>74</v>
      </c>
      <c r="R20" s="93">
        <v>6.25E-2</v>
      </c>
      <c r="S20" s="41" t="s">
        <v>103</v>
      </c>
    </row>
    <row r="21" spans="2:19" x14ac:dyDescent="0.25">
      <c r="B21" t="s">
        <v>279</v>
      </c>
      <c r="C21" s="89">
        <v>6.25E-2</v>
      </c>
      <c r="D21" t="s">
        <v>101</v>
      </c>
      <c r="E21" t="s">
        <v>249</v>
      </c>
      <c r="F21" s="89">
        <v>0.14583333333333334</v>
      </c>
      <c r="G21" t="s">
        <v>100</v>
      </c>
      <c r="H21" s="96" t="s">
        <v>211</v>
      </c>
      <c r="I21" s="93">
        <v>1.7361111111111112E-2</v>
      </c>
      <c r="J21" s="36" t="s">
        <v>98</v>
      </c>
      <c r="K21" s="102" t="s">
        <v>152</v>
      </c>
      <c r="L21" s="93">
        <v>6.25E-2</v>
      </c>
      <c r="M21" s="36" t="s">
        <v>98</v>
      </c>
      <c r="N21" s="96" t="s">
        <v>107</v>
      </c>
      <c r="O21" s="93">
        <v>0.12152777777777778</v>
      </c>
      <c r="P21" s="36" t="s">
        <v>98</v>
      </c>
      <c r="Q21" s="96" t="s">
        <v>75</v>
      </c>
      <c r="R21" s="93">
        <v>0.16666666666666666</v>
      </c>
      <c r="S21" s="41" t="s">
        <v>103</v>
      </c>
    </row>
    <row r="22" spans="2:19" x14ac:dyDescent="0.25">
      <c r="B22" t="s">
        <v>280</v>
      </c>
      <c r="C22" s="89">
        <v>2.4305555555555556E-2</v>
      </c>
      <c r="D22" t="s">
        <v>98</v>
      </c>
      <c r="E22" t="s">
        <v>250</v>
      </c>
      <c r="F22" s="89">
        <v>6.25E-2</v>
      </c>
      <c r="G22" t="s">
        <v>100</v>
      </c>
      <c r="H22" s="96" t="s">
        <v>206</v>
      </c>
      <c r="I22" s="93">
        <v>8.1944444444444445E-2</v>
      </c>
      <c r="J22" s="36" t="s">
        <v>98</v>
      </c>
      <c r="K22" s="102" t="s">
        <v>145</v>
      </c>
      <c r="L22" s="93">
        <v>4.1666666666666664E-2</v>
      </c>
      <c r="M22" s="36" t="s">
        <v>100</v>
      </c>
      <c r="N22" s="96" t="s">
        <v>108</v>
      </c>
      <c r="O22" s="93">
        <v>0.16180555555555556</v>
      </c>
      <c r="P22" s="36" t="s">
        <v>98</v>
      </c>
      <c r="Q22" s="96"/>
      <c r="R22" s="2"/>
      <c r="S22" s="33"/>
    </row>
    <row r="23" spans="2:19" x14ac:dyDescent="0.25">
      <c r="B23" t="s">
        <v>281</v>
      </c>
      <c r="C23" s="89">
        <v>4.1666666666666664E-2</v>
      </c>
      <c r="D23" t="s">
        <v>86</v>
      </c>
      <c r="E23" t="s">
        <v>251</v>
      </c>
      <c r="F23" s="89">
        <v>0.10416666666666667</v>
      </c>
      <c r="G23" t="s">
        <v>100</v>
      </c>
      <c r="H23" s="96" t="s">
        <v>212</v>
      </c>
      <c r="I23" s="93">
        <v>8.3333333333333329E-2</v>
      </c>
      <c r="J23" s="36" t="s">
        <v>100</v>
      </c>
      <c r="K23" s="102" t="s">
        <v>153</v>
      </c>
      <c r="L23" s="93">
        <v>0.16666666666666666</v>
      </c>
      <c r="M23" s="36" t="s">
        <v>100</v>
      </c>
      <c r="N23" s="96" t="s">
        <v>87</v>
      </c>
      <c r="O23" s="93">
        <v>6.25E-2</v>
      </c>
      <c r="P23" s="36" t="s">
        <v>98</v>
      </c>
      <c r="Q23" s="96"/>
      <c r="R23" s="2"/>
      <c r="S23" s="33"/>
    </row>
    <row r="24" spans="2:19" x14ac:dyDescent="0.25">
      <c r="B24" t="s">
        <v>282</v>
      </c>
      <c r="C24" s="89">
        <v>4.8611111111111112E-2</v>
      </c>
      <c r="D24" t="s">
        <v>86</v>
      </c>
      <c r="E24" t="s">
        <v>252</v>
      </c>
      <c r="F24" s="89">
        <v>9.6527777777777768E-2</v>
      </c>
      <c r="G24" t="s">
        <v>103</v>
      </c>
      <c r="H24" s="96" t="s">
        <v>213</v>
      </c>
      <c r="I24" s="93">
        <v>0.10416666666666667</v>
      </c>
      <c r="J24" s="36" t="s">
        <v>100</v>
      </c>
      <c r="K24" s="102" t="s">
        <v>154</v>
      </c>
      <c r="L24" s="93">
        <v>0.10416666666666667</v>
      </c>
      <c r="M24" s="36" t="s">
        <v>100</v>
      </c>
      <c r="N24" s="96" t="s">
        <v>109</v>
      </c>
      <c r="O24" s="93">
        <v>8.3333333333333329E-2</v>
      </c>
      <c r="P24" s="36" t="s">
        <v>100</v>
      </c>
      <c r="Q24" s="96"/>
      <c r="R24" s="2"/>
      <c r="S24" s="33"/>
    </row>
    <row r="25" spans="2:19" x14ac:dyDescent="0.25">
      <c r="B25" t="s">
        <v>283</v>
      </c>
      <c r="C25" s="89">
        <v>0.12986111111111112</v>
      </c>
      <c r="D25" t="s">
        <v>98</v>
      </c>
      <c r="E25" t="s">
        <v>253</v>
      </c>
      <c r="F25" s="89">
        <v>8.3333333333333329E-2</v>
      </c>
      <c r="G25" t="s">
        <v>103</v>
      </c>
      <c r="H25" s="96" t="s">
        <v>214</v>
      </c>
      <c r="I25" s="93">
        <v>7.2916666666666671E-2</v>
      </c>
      <c r="J25" s="36" t="s">
        <v>100</v>
      </c>
      <c r="K25" s="102" t="s">
        <v>155</v>
      </c>
      <c r="L25" s="93">
        <v>1.3888888888888888E-2</v>
      </c>
      <c r="M25" s="36" t="s">
        <v>100</v>
      </c>
      <c r="N25" s="96" t="s">
        <v>110</v>
      </c>
      <c r="O25" s="93">
        <v>4.1666666666666664E-2</v>
      </c>
      <c r="P25" s="36" t="s">
        <v>100</v>
      </c>
      <c r="Q25" s="96"/>
      <c r="R25" s="2"/>
      <c r="S25" s="33"/>
    </row>
    <row r="26" spans="2:19" x14ac:dyDescent="0.25">
      <c r="B26" t="s">
        <v>284</v>
      </c>
      <c r="C26" s="89">
        <v>0.10416666666666667</v>
      </c>
      <c r="D26" t="s">
        <v>100</v>
      </c>
      <c r="E26" t="s">
        <v>254</v>
      </c>
      <c r="F26" s="89">
        <v>0.125</v>
      </c>
      <c r="G26" t="s">
        <v>101</v>
      </c>
      <c r="H26" s="96" t="s">
        <v>207</v>
      </c>
      <c r="I26" s="93">
        <v>1.3888888888888888E-2</v>
      </c>
      <c r="J26" s="36" t="s">
        <v>100</v>
      </c>
      <c r="K26" s="102" t="s">
        <v>156</v>
      </c>
      <c r="L26" s="93">
        <v>3.125E-2</v>
      </c>
      <c r="M26" s="36" t="s">
        <v>100</v>
      </c>
      <c r="N26" s="96" t="s">
        <v>111</v>
      </c>
      <c r="O26" s="93">
        <v>8.3333333333333329E-2</v>
      </c>
      <c r="P26" s="36" t="s">
        <v>100</v>
      </c>
      <c r="Q26" s="96"/>
      <c r="R26" s="2"/>
      <c r="S26" s="33"/>
    </row>
    <row r="27" spans="2:19" x14ac:dyDescent="0.25">
      <c r="B27" t="s">
        <v>285</v>
      </c>
      <c r="C27" s="89">
        <v>7.7777777777777779E-2</v>
      </c>
      <c r="D27" t="s">
        <v>103</v>
      </c>
      <c r="E27" t="s">
        <v>255</v>
      </c>
      <c r="F27" s="89">
        <v>7.2916666666666671E-2</v>
      </c>
      <c r="G27" t="s">
        <v>98</v>
      </c>
      <c r="H27" s="96" t="s">
        <v>215</v>
      </c>
      <c r="I27" s="93">
        <v>0.10416666666666667</v>
      </c>
      <c r="J27" s="36" t="s">
        <v>100</v>
      </c>
      <c r="K27" s="102" t="s">
        <v>157</v>
      </c>
      <c r="L27" s="93">
        <v>8.3333333333333329E-2</v>
      </c>
      <c r="M27" s="36" t="s">
        <v>100</v>
      </c>
      <c r="N27" s="96" t="s">
        <v>112</v>
      </c>
      <c r="O27" s="93">
        <v>2.0833333333333332E-2</v>
      </c>
      <c r="P27" s="36" t="s">
        <v>100</v>
      </c>
      <c r="Q27" s="96"/>
      <c r="R27" s="2"/>
      <c r="S27" s="33"/>
    </row>
    <row r="28" spans="2:19" x14ac:dyDescent="0.25">
      <c r="B28" t="s">
        <v>286</v>
      </c>
      <c r="C28" s="89">
        <v>0.10555555555555556</v>
      </c>
      <c r="D28" t="s">
        <v>103</v>
      </c>
      <c r="E28" t="s">
        <v>255</v>
      </c>
      <c r="F28" s="89">
        <v>1.7361111111111112E-2</v>
      </c>
      <c r="G28" t="s">
        <v>100</v>
      </c>
      <c r="H28" s="96" t="s">
        <v>216</v>
      </c>
      <c r="I28" s="93">
        <v>7.2916666666666671E-2</v>
      </c>
      <c r="J28" s="36" t="s">
        <v>100</v>
      </c>
      <c r="K28" s="102" t="s">
        <v>158</v>
      </c>
      <c r="L28" s="93">
        <v>2.0833333333333332E-2</v>
      </c>
      <c r="M28" s="36" t="s">
        <v>100</v>
      </c>
      <c r="N28" s="96" t="s">
        <v>113</v>
      </c>
      <c r="O28" s="93">
        <v>2.7777777777777776E-2</v>
      </c>
      <c r="P28" s="36" t="s">
        <v>100</v>
      </c>
      <c r="Q28" s="96"/>
      <c r="R28" s="2"/>
      <c r="S28" s="33"/>
    </row>
    <row r="29" spans="2:19" x14ac:dyDescent="0.25">
      <c r="B29" t="s">
        <v>287</v>
      </c>
      <c r="C29" s="89">
        <v>0.17361111111111113</v>
      </c>
      <c r="D29" t="s">
        <v>103</v>
      </c>
      <c r="E29" t="s">
        <v>139</v>
      </c>
      <c r="F29" s="89">
        <v>9.0277777777777776E-2</v>
      </c>
      <c r="G29" t="s">
        <v>86</v>
      </c>
      <c r="H29" s="96" t="s">
        <v>217</v>
      </c>
      <c r="I29" s="93">
        <v>0.13541666666666666</v>
      </c>
      <c r="J29" s="36" t="s">
        <v>100</v>
      </c>
      <c r="K29" s="102" t="s">
        <v>159</v>
      </c>
      <c r="L29" s="93">
        <v>3.125E-2</v>
      </c>
      <c r="M29" s="36" t="s">
        <v>100</v>
      </c>
      <c r="N29" s="96" t="s">
        <v>106</v>
      </c>
      <c r="O29" s="93">
        <v>2.0833333333333332E-2</v>
      </c>
      <c r="P29" s="36" t="s">
        <v>100</v>
      </c>
      <c r="Q29" s="96"/>
      <c r="R29" s="2"/>
      <c r="S29" s="33"/>
    </row>
    <row r="30" spans="2:19" x14ac:dyDescent="0.25">
      <c r="B30" t="s">
        <v>288</v>
      </c>
      <c r="C30" s="89">
        <v>4.5833333333333337E-2</v>
      </c>
      <c r="D30" t="s">
        <v>98</v>
      </c>
      <c r="E30" t="s">
        <v>256</v>
      </c>
      <c r="F30" s="89">
        <v>0.15277777777777776</v>
      </c>
      <c r="G30" t="s">
        <v>102</v>
      </c>
      <c r="H30" s="96" t="s">
        <v>218</v>
      </c>
      <c r="I30" s="93">
        <v>3.125E-2</v>
      </c>
      <c r="J30" s="36" t="s">
        <v>100</v>
      </c>
      <c r="K30" s="102" t="s">
        <v>160</v>
      </c>
      <c r="L30" s="93">
        <v>1.3888888888888888E-2</v>
      </c>
      <c r="M30" s="36" t="s">
        <v>100</v>
      </c>
      <c r="N30" s="96" t="s">
        <v>114</v>
      </c>
      <c r="O30" s="93">
        <v>3.125E-2</v>
      </c>
      <c r="P30" s="36" t="s">
        <v>100</v>
      </c>
      <c r="Q30" s="96"/>
      <c r="R30" s="2"/>
      <c r="S30" s="33"/>
    </row>
    <row r="31" spans="2:19" x14ac:dyDescent="0.25">
      <c r="B31" t="s">
        <v>286</v>
      </c>
      <c r="C31" s="89">
        <v>0.11180555555555556</v>
      </c>
      <c r="D31" t="s">
        <v>98</v>
      </c>
      <c r="E31" t="s">
        <v>256</v>
      </c>
      <c r="F31" s="89">
        <v>6.0416666666666667E-2</v>
      </c>
      <c r="G31" t="s">
        <v>98</v>
      </c>
      <c r="H31" s="96" t="s">
        <v>233</v>
      </c>
      <c r="I31" s="93">
        <v>6.9444444444444441E-3</v>
      </c>
      <c r="J31" s="36" t="s">
        <v>100</v>
      </c>
      <c r="K31" s="102" t="s">
        <v>161</v>
      </c>
      <c r="L31" s="93">
        <v>2.7777777777777776E-2</v>
      </c>
      <c r="M31" s="36" t="s">
        <v>100</v>
      </c>
      <c r="N31" s="96" t="s">
        <v>115</v>
      </c>
      <c r="O31" s="93">
        <v>0.10416666666666667</v>
      </c>
      <c r="P31" s="36" t="s">
        <v>100</v>
      </c>
      <c r="Q31" s="96"/>
      <c r="R31" s="2"/>
      <c r="S31" s="33"/>
    </row>
    <row r="32" spans="2:19" x14ac:dyDescent="0.25">
      <c r="B32" t="s">
        <v>289</v>
      </c>
      <c r="C32" s="89">
        <v>0.22222222222222221</v>
      </c>
      <c r="D32" t="s">
        <v>86</v>
      </c>
      <c r="E32" t="s">
        <v>257</v>
      </c>
      <c r="F32" s="89">
        <v>1.3888888888888888E-2</v>
      </c>
      <c r="G32" t="s">
        <v>98</v>
      </c>
      <c r="H32" s="96" t="s">
        <v>219</v>
      </c>
      <c r="I32" s="93">
        <v>5.5555555555555552E-2</v>
      </c>
      <c r="J32" s="36" t="s">
        <v>101</v>
      </c>
      <c r="K32" s="102" t="s">
        <v>162</v>
      </c>
      <c r="L32" s="93">
        <v>6.25E-2</v>
      </c>
      <c r="M32" s="36" t="s">
        <v>100</v>
      </c>
      <c r="N32" s="96" t="s">
        <v>116</v>
      </c>
      <c r="O32" s="93">
        <v>7.2916666666666671E-2</v>
      </c>
      <c r="P32" s="36" t="s">
        <v>100</v>
      </c>
      <c r="Q32" s="96"/>
      <c r="R32" s="2"/>
      <c r="S32" s="33"/>
    </row>
    <row r="33" spans="2:19" x14ac:dyDescent="0.25">
      <c r="B33" s="2" t="s">
        <v>233</v>
      </c>
      <c r="C33" s="89">
        <v>3.3333333333333333E-2</v>
      </c>
      <c r="D33" t="s">
        <v>103</v>
      </c>
      <c r="E33" t="s">
        <v>258</v>
      </c>
      <c r="F33" s="89">
        <v>8.7500000000000008E-2</v>
      </c>
      <c r="G33" t="s">
        <v>103</v>
      </c>
      <c r="H33" s="96" t="s">
        <v>220</v>
      </c>
      <c r="I33" s="93">
        <v>6.9444444444444441E-3</v>
      </c>
      <c r="J33" s="36" t="s">
        <v>101</v>
      </c>
      <c r="K33" s="102" t="s">
        <v>163</v>
      </c>
      <c r="L33" s="93">
        <v>3.472222222222222E-3</v>
      </c>
      <c r="M33" s="36" t="s">
        <v>100</v>
      </c>
      <c r="N33" s="96" t="s">
        <v>117</v>
      </c>
      <c r="O33" s="93">
        <v>1.0416666666666666E-2</v>
      </c>
      <c r="P33" s="36" t="s">
        <v>100</v>
      </c>
      <c r="Q33" s="96"/>
      <c r="R33" s="2"/>
      <c r="S33" s="33"/>
    </row>
    <row r="34" spans="2:19" x14ac:dyDescent="0.25">
      <c r="B34" s="2" t="s">
        <v>233</v>
      </c>
      <c r="C34" s="89">
        <v>9.0277777777777776E-2</v>
      </c>
      <c r="D34" t="s">
        <v>100</v>
      </c>
      <c r="E34" s="110" t="s">
        <v>259</v>
      </c>
      <c r="H34" s="96" t="s">
        <v>221</v>
      </c>
      <c r="I34" s="93">
        <v>6.25E-2</v>
      </c>
      <c r="J34" s="36" t="s">
        <v>101</v>
      </c>
      <c r="K34" s="102" t="s">
        <v>164</v>
      </c>
      <c r="L34" s="93">
        <v>4.8611111111111112E-2</v>
      </c>
      <c r="M34" s="36" t="s">
        <v>100</v>
      </c>
      <c r="N34" s="96" t="s">
        <v>118</v>
      </c>
      <c r="O34" s="99">
        <v>0.16666666666666666</v>
      </c>
      <c r="P34" s="36" t="s">
        <v>100</v>
      </c>
      <c r="Q34" s="96"/>
      <c r="R34" s="2"/>
      <c r="S34" s="33"/>
    </row>
    <row r="35" spans="2:19" x14ac:dyDescent="0.25">
      <c r="B35" s="2" t="s">
        <v>233</v>
      </c>
      <c r="C35" s="89">
        <v>3.8194444444444441E-2</v>
      </c>
      <c r="D35" t="s">
        <v>101</v>
      </c>
      <c r="E35" s="111" t="s">
        <v>262</v>
      </c>
      <c r="F35" s="89">
        <v>0.1111111111111111</v>
      </c>
      <c r="G35" t="s">
        <v>86</v>
      </c>
      <c r="H35" s="96" t="s">
        <v>222</v>
      </c>
      <c r="I35" s="93">
        <v>0.10416666666666667</v>
      </c>
      <c r="J35" s="36" t="s">
        <v>101</v>
      </c>
      <c r="K35" s="102" t="s">
        <v>165</v>
      </c>
      <c r="L35" s="93">
        <v>1.0416666666666666E-2</v>
      </c>
      <c r="M35" s="36" t="s">
        <v>100</v>
      </c>
      <c r="N35" s="96" t="s">
        <v>119</v>
      </c>
      <c r="O35" s="93">
        <v>8.3333333333333329E-2</v>
      </c>
      <c r="P35" s="36" t="s">
        <v>100</v>
      </c>
      <c r="Q35" s="96"/>
      <c r="R35" s="2"/>
      <c r="S35" s="33"/>
    </row>
    <row r="36" spans="2:19" x14ac:dyDescent="0.25">
      <c r="B36" s="2" t="s">
        <v>233</v>
      </c>
      <c r="C36" s="89">
        <v>2.4305555555555556E-2</v>
      </c>
      <c r="D36" t="s">
        <v>86</v>
      </c>
      <c r="E36" s="111" t="s">
        <v>263</v>
      </c>
      <c r="F36" s="89">
        <v>0.13194444444444445</v>
      </c>
      <c r="G36" t="s">
        <v>86</v>
      </c>
      <c r="H36" s="96" t="s">
        <v>223</v>
      </c>
      <c r="I36" s="93">
        <v>6.25E-2</v>
      </c>
      <c r="J36" s="36" t="s">
        <v>101</v>
      </c>
      <c r="K36" s="102" t="s">
        <v>144</v>
      </c>
      <c r="L36" s="93">
        <v>8.3333333333333329E-2</v>
      </c>
      <c r="M36" s="36" t="s">
        <v>100</v>
      </c>
      <c r="N36" s="96" t="s">
        <v>120</v>
      </c>
      <c r="O36" s="93">
        <v>4.1666666666666664E-2</v>
      </c>
      <c r="P36" s="36" t="s">
        <v>100</v>
      </c>
      <c r="Q36" s="96"/>
      <c r="R36" s="2"/>
      <c r="S36" s="33"/>
    </row>
    <row r="37" spans="2:19" x14ac:dyDescent="0.25">
      <c r="B37" s="36" t="s">
        <v>256</v>
      </c>
      <c r="C37" s="89">
        <v>1.8055555555555557E-2</v>
      </c>
      <c r="D37" t="s">
        <v>98</v>
      </c>
      <c r="E37" s="111" t="s">
        <v>264</v>
      </c>
      <c r="F37" s="89">
        <v>8.3333333333333329E-2</v>
      </c>
      <c r="G37" t="s">
        <v>86</v>
      </c>
      <c r="H37" s="96" t="s">
        <v>224</v>
      </c>
      <c r="I37" s="93">
        <v>0.10416666666666667</v>
      </c>
      <c r="J37" s="36" t="s">
        <v>101</v>
      </c>
      <c r="K37" s="102" t="s">
        <v>166</v>
      </c>
      <c r="L37" s="93">
        <v>3.472222222222222E-3</v>
      </c>
      <c r="M37" s="36" t="s">
        <v>100</v>
      </c>
      <c r="N37" s="96" t="s">
        <v>121</v>
      </c>
      <c r="O37" s="93">
        <v>6.25E-2</v>
      </c>
      <c r="P37" s="36" t="s">
        <v>101</v>
      </c>
      <c r="Q37" s="96"/>
      <c r="R37" s="2"/>
      <c r="S37" s="33"/>
    </row>
    <row r="38" spans="2:19" x14ac:dyDescent="0.25">
      <c r="E38" s="111" t="s">
        <v>266</v>
      </c>
      <c r="F38" s="89">
        <v>2.7777777777777776E-2</v>
      </c>
      <c r="G38" t="s">
        <v>86</v>
      </c>
      <c r="H38" s="96" t="s">
        <v>225</v>
      </c>
      <c r="I38" s="93">
        <v>2.0833333333333332E-2</v>
      </c>
      <c r="J38" s="36" t="s">
        <v>101</v>
      </c>
      <c r="K38" s="102" t="s">
        <v>167</v>
      </c>
      <c r="L38" s="93">
        <v>6.9444444444444441E-3</v>
      </c>
      <c r="M38" s="36" t="s">
        <v>100</v>
      </c>
      <c r="N38" s="96" t="s">
        <v>122</v>
      </c>
      <c r="O38" s="93">
        <v>0.16666666666666666</v>
      </c>
      <c r="P38" s="36" t="s">
        <v>101</v>
      </c>
      <c r="Q38" s="96"/>
      <c r="R38" s="2"/>
      <c r="S38" s="33"/>
    </row>
    <row r="39" spans="2:19" x14ac:dyDescent="0.25">
      <c r="E39" s="111" t="s">
        <v>266</v>
      </c>
      <c r="F39" s="89">
        <v>2.7777777777777776E-2</v>
      </c>
      <c r="G39" t="s">
        <v>101</v>
      </c>
      <c r="H39" s="96" t="s">
        <v>226</v>
      </c>
      <c r="I39" s="93">
        <v>0.16666666666666666</v>
      </c>
      <c r="J39" s="36" t="s">
        <v>102</v>
      </c>
      <c r="K39" s="102" t="s">
        <v>168</v>
      </c>
      <c r="L39" s="93">
        <v>6.9444444444444441E-3</v>
      </c>
      <c r="M39" s="36" t="s">
        <v>100</v>
      </c>
      <c r="N39" s="96" t="s">
        <v>106</v>
      </c>
      <c r="O39" s="93">
        <v>2.0833333333333332E-2</v>
      </c>
      <c r="P39" s="36" t="s">
        <v>101</v>
      </c>
      <c r="Q39" s="96"/>
      <c r="R39" s="2"/>
      <c r="S39" s="33"/>
    </row>
    <row r="40" spans="2:19" x14ac:dyDescent="0.25">
      <c r="E40" s="111" t="s">
        <v>265</v>
      </c>
      <c r="F40" s="89">
        <v>0.11805555555555557</v>
      </c>
      <c r="G40" t="s">
        <v>86</v>
      </c>
      <c r="H40" s="96" t="s">
        <v>208</v>
      </c>
      <c r="I40" s="93">
        <v>0.1875</v>
      </c>
      <c r="J40" s="36" t="s">
        <v>102</v>
      </c>
      <c r="K40" s="102" t="s">
        <v>169</v>
      </c>
      <c r="L40" s="93">
        <v>6.9444444444444441E-3</v>
      </c>
      <c r="M40" s="36" t="s">
        <v>100</v>
      </c>
      <c r="N40" s="96" t="s">
        <v>123</v>
      </c>
      <c r="O40" s="93">
        <v>6.25E-2</v>
      </c>
      <c r="P40" s="36" t="s">
        <v>101</v>
      </c>
      <c r="Q40" s="96"/>
      <c r="R40" s="2"/>
      <c r="S40" s="33"/>
    </row>
    <row r="41" spans="2:19" x14ac:dyDescent="0.25">
      <c r="E41" t="s">
        <v>260</v>
      </c>
      <c r="F41" s="89">
        <v>0.14583333333333334</v>
      </c>
      <c r="G41" t="s">
        <v>102</v>
      </c>
      <c r="H41" s="96" t="s">
        <v>209</v>
      </c>
      <c r="I41" s="93">
        <v>0.12152777777777778</v>
      </c>
      <c r="J41" s="36" t="s">
        <v>102</v>
      </c>
      <c r="K41" s="102" t="s">
        <v>170</v>
      </c>
      <c r="L41" s="93">
        <v>0.14583333333333334</v>
      </c>
      <c r="M41" s="36" t="s">
        <v>101</v>
      </c>
      <c r="N41" s="96" t="s">
        <v>124</v>
      </c>
      <c r="O41" s="93">
        <v>2.0833333333333332E-2</v>
      </c>
      <c r="P41" s="36" t="s">
        <v>101</v>
      </c>
      <c r="Q41" s="96"/>
      <c r="R41" s="2"/>
      <c r="S41" s="33"/>
    </row>
    <row r="42" spans="2:19" x14ac:dyDescent="0.25">
      <c r="E42" s="2" t="s">
        <v>233</v>
      </c>
      <c r="F42" s="89">
        <v>8.9583333333333334E-2</v>
      </c>
      <c r="G42" t="s">
        <v>103</v>
      </c>
      <c r="H42" s="96" t="s">
        <v>210</v>
      </c>
      <c r="I42" s="93">
        <v>9.0277777777777776E-2</v>
      </c>
      <c r="J42" s="36" t="s">
        <v>102</v>
      </c>
      <c r="K42" s="102" t="s">
        <v>171</v>
      </c>
      <c r="L42" s="93">
        <v>2.0833333333333332E-2</v>
      </c>
      <c r="M42" s="36" t="s">
        <v>101</v>
      </c>
      <c r="N42" s="96" t="s">
        <v>125</v>
      </c>
      <c r="O42" s="99">
        <v>8.3333333333333329E-2</v>
      </c>
      <c r="P42" s="36" t="s">
        <v>101</v>
      </c>
      <c r="Q42" s="96"/>
      <c r="R42" s="2"/>
      <c r="S42" s="33"/>
    </row>
    <row r="43" spans="2:19" x14ac:dyDescent="0.25">
      <c r="E43" s="2" t="s">
        <v>233</v>
      </c>
      <c r="F43" s="89">
        <v>4.8611111111111112E-2</v>
      </c>
      <c r="G43" t="s">
        <v>101</v>
      </c>
      <c r="H43" s="96" t="s">
        <v>196</v>
      </c>
      <c r="I43" s="93">
        <v>0.17708333333333334</v>
      </c>
      <c r="J43" s="36" t="s">
        <v>103</v>
      </c>
      <c r="K43" s="102" t="s">
        <v>172</v>
      </c>
      <c r="L43" s="93">
        <v>8.3333333333333329E-2</v>
      </c>
      <c r="M43" s="36" t="s">
        <v>101</v>
      </c>
      <c r="N43" s="96" t="s">
        <v>109</v>
      </c>
      <c r="O43" s="93">
        <v>8.3333333333333329E-2</v>
      </c>
      <c r="P43" s="36" t="s">
        <v>102</v>
      </c>
      <c r="Q43" s="96"/>
      <c r="R43" s="2"/>
      <c r="S43" s="33"/>
    </row>
    <row r="44" spans="2:19" x14ac:dyDescent="0.25">
      <c r="E44" s="36" t="s">
        <v>261</v>
      </c>
      <c r="F44" s="89">
        <v>2.0833333333333332E-2</v>
      </c>
      <c r="G44" t="s">
        <v>101</v>
      </c>
      <c r="H44" s="96" t="s">
        <v>195</v>
      </c>
      <c r="I44" s="93">
        <v>2.7777777777777776E-2</v>
      </c>
      <c r="J44" s="36" t="s">
        <v>103</v>
      </c>
      <c r="K44" s="102" t="s">
        <v>173</v>
      </c>
      <c r="L44" s="93">
        <v>6.25E-2</v>
      </c>
      <c r="M44" s="36" t="s">
        <v>101</v>
      </c>
      <c r="N44" s="96" t="s">
        <v>126</v>
      </c>
      <c r="O44" s="93">
        <v>0.14583333333333334</v>
      </c>
      <c r="P44" s="36" t="s">
        <v>102</v>
      </c>
      <c r="Q44" s="96"/>
      <c r="R44" s="2"/>
      <c r="S44" s="33"/>
    </row>
    <row r="45" spans="2:19" x14ac:dyDescent="0.25">
      <c r="E45" s="36" t="s">
        <v>254</v>
      </c>
      <c r="F45" s="89">
        <v>2.0833333333333332E-2</v>
      </c>
      <c r="G45" t="s">
        <v>101</v>
      </c>
      <c r="H45" s="96" t="s">
        <v>227</v>
      </c>
      <c r="I45" s="93">
        <v>9.7916666666666666E-2</v>
      </c>
      <c r="J45" s="36" t="s">
        <v>103</v>
      </c>
      <c r="K45" s="102" t="s">
        <v>174</v>
      </c>
      <c r="L45" s="93">
        <v>6.25E-2</v>
      </c>
      <c r="M45" s="36" t="s">
        <v>101</v>
      </c>
      <c r="N45" s="96" t="s">
        <v>127</v>
      </c>
      <c r="O45" s="93">
        <v>8.3333333333333329E-2</v>
      </c>
      <c r="P45" s="36" t="s">
        <v>102</v>
      </c>
      <c r="Q45" s="96"/>
      <c r="R45" s="2"/>
      <c r="S45" s="33"/>
    </row>
    <row r="46" spans="2:19" x14ac:dyDescent="0.25">
      <c r="E46" t="s">
        <v>255</v>
      </c>
      <c r="F46" s="89">
        <v>7.2916666666666671E-2</v>
      </c>
      <c r="G46" t="s">
        <v>102</v>
      </c>
      <c r="H46" s="96" t="s">
        <v>228</v>
      </c>
      <c r="I46" s="93">
        <v>2.6388888888888889E-2</v>
      </c>
      <c r="J46" s="36" t="s">
        <v>103</v>
      </c>
      <c r="K46" s="102" t="s">
        <v>175</v>
      </c>
      <c r="L46" s="93">
        <v>6.9444444444444441E-3</v>
      </c>
      <c r="M46" s="36" t="s">
        <v>101</v>
      </c>
      <c r="N46" s="96" t="s">
        <v>128</v>
      </c>
      <c r="O46" s="93">
        <v>5.5555555555555552E-2</v>
      </c>
      <c r="P46" s="36" t="s">
        <v>102</v>
      </c>
      <c r="Q46" s="96"/>
      <c r="R46" s="2"/>
      <c r="S46" s="33"/>
    </row>
    <row r="47" spans="2:19" x14ac:dyDescent="0.25">
      <c r="H47" s="96" t="s">
        <v>229</v>
      </c>
      <c r="I47" s="93">
        <v>2.4305555555555556E-2</v>
      </c>
      <c r="J47" s="36" t="s">
        <v>103</v>
      </c>
      <c r="K47" s="102" t="s">
        <v>176</v>
      </c>
      <c r="L47" s="93">
        <v>1.0416666666666666E-2</v>
      </c>
      <c r="M47" s="36" t="s">
        <v>101</v>
      </c>
      <c r="N47" s="96" t="s">
        <v>129</v>
      </c>
      <c r="O47" s="93">
        <v>7.2916666666666671E-2</v>
      </c>
      <c r="P47" s="36" t="s">
        <v>102</v>
      </c>
      <c r="Q47" s="96"/>
      <c r="R47" s="2"/>
      <c r="S47" s="33"/>
    </row>
    <row r="48" spans="2:19" x14ac:dyDescent="0.25">
      <c r="H48" s="96" t="s">
        <v>230</v>
      </c>
      <c r="I48" s="93">
        <v>5.5555555555555552E-2</v>
      </c>
      <c r="J48" s="36" t="s">
        <v>103</v>
      </c>
      <c r="K48" s="102" t="s">
        <v>177</v>
      </c>
      <c r="L48" s="93">
        <v>2.0833333333333332E-2</v>
      </c>
      <c r="M48" s="36" t="s">
        <v>101</v>
      </c>
      <c r="N48" s="96" t="s">
        <v>130</v>
      </c>
      <c r="O48" s="93">
        <v>3.125E-2</v>
      </c>
      <c r="P48" s="36" t="s">
        <v>102</v>
      </c>
      <c r="Q48" s="96"/>
      <c r="R48" s="2"/>
      <c r="S48" s="33"/>
    </row>
    <row r="49" spans="8:19" x14ac:dyDescent="0.25">
      <c r="H49" s="96" t="s">
        <v>231</v>
      </c>
      <c r="I49" s="93">
        <v>0.14930555555555555</v>
      </c>
      <c r="J49" s="36" t="s">
        <v>103</v>
      </c>
      <c r="K49" s="104" t="s">
        <v>178</v>
      </c>
      <c r="L49" s="2"/>
      <c r="M49" s="36" t="s">
        <v>101</v>
      </c>
      <c r="N49" s="96" t="s">
        <v>131</v>
      </c>
      <c r="O49" s="93">
        <v>9.0277777777777776E-2</v>
      </c>
      <c r="P49" s="36" t="s">
        <v>103</v>
      </c>
      <c r="Q49" s="96"/>
      <c r="R49" s="2"/>
      <c r="S49" s="33"/>
    </row>
    <row r="50" spans="8:19" x14ac:dyDescent="0.25">
      <c r="H50" s="96" t="s">
        <v>232</v>
      </c>
      <c r="I50" s="93">
        <v>7.6388888888888895E-2</v>
      </c>
      <c r="J50" s="36" t="s">
        <v>103</v>
      </c>
      <c r="K50" s="102" t="s">
        <v>179</v>
      </c>
      <c r="L50" s="93">
        <v>0.125</v>
      </c>
      <c r="M50" s="36" t="s">
        <v>101</v>
      </c>
      <c r="N50" s="96" t="s">
        <v>121</v>
      </c>
      <c r="O50" s="93">
        <v>6.25E-2</v>
      </c>
      <c r="P50" s="36" t="s">
        <v>103</v>
      </c>
      <c r="Q50" s="96"/>
      <c r="R50" s="2"/>
      <c r="S50" s="33"/>
    </row>
    <row r="51" spans="8:19" x14ac:dyDescent="0.25">
      <c r="H51" s="96" t="s">
        <v>233</v>
      </c>
      <c r="I51" s="93">
        <v>3.6805555555555557E-2</v>
      </c>
      <c r="J51" s="36" t="s">
        <v>103</v>
      </c>
      <c r="K51" s="102" t="s">
        <v>180</v>
      </c>
      <c r="L51" s="93">
        <v>0.20833333333333334</v>
      </c>
      <c r="M51" s="36" t="s">
        <v>101</v>
      </c>
      <c r="N51" s="96" t="s">
        <v>132</v>
      </c>
      <c r="O51" s="93">
        <v>4.1666666666666664E-2</v>
      </c>
      <c r="P51" s="36" t="s">
        <v>103</v>
      </c>
      <c r="Q51" s="96"/>
      <c r="R51" s="2"/>
      <c r="S51" s="33"/>
    </row>
    <row r="52" spans="8:19" x14ac:dyDescent="0.25">
      <c r="H52" s="96" t="s">
        <v>234</v>
      </c>
      <c r="I52" s="93">
        <v>3.6111111111111115E-2</v>
      </c>
      <c r="J52" s="36" t="s">
        <v>103</v>
      </c>
      <c r="K52" s="102" t="s">
        <v>181</v>
      </c>
      <c r="L52" s="93">
        <v>8.3333333333333329E-2</v>
      </c>
      <c r="M52" s="36" t="s">
        <v>101</v>
      </c>
      <c r="N52" s="96" t="s">
        <v>133</v>
      </c>
      <c r="O52" s="93">
        <v>2.7777777777777776E-2</v>
      </c>
      <c r="P52" s="36" t="s">
        <v>103</v>
      </c>
      <c r="Q52" s="96"/>
      <c r="R52" s="2"/>
      <c r="S52" s="33"/>
    </row>
    <row r="53" spans="8:19" x14ac:dyDescent="0.25">
      <c r="H53" s="96"/>
      <c r="I53" s="2"/>
      <c r="J53" s="2"/>
      <c r="K53" s="102" t="s">
        <v>182</v>
      </c>
      <c r="L53" s="93">
        <v>4.1666666666666664E-2</v>
      </c>
      <c r="M53" s="36" t="s">
        <v>101</v>
      </c>
      <c r="N53" s="96" t="s">
        <v>134</v>
      </c>
      <c r="O53" s="93">
        <v>0.12847222222222224</v>
      </c>
      <c r="P53" s="36" t="s">
        <v>103</v>
      </c>
      <c r="Q53" s="96"/>
      <c r="R53" s="2"/>
      <c r="S53" s="33"/>
    </row>
    <row r="54" spans="8:19" x14ac:dyDescent="0.25">
      <c r="H54" s="96"/>
      <c r="I54" s="2"/>
      <c r="J54" s="2"/>
      <c r="K54" s="102" t="s">
        <v>183</v>
      </c>
      <c r="L54" s="93">
        <v>1.0416666666666666E-2</v>
      </c>
      <c r="M54" s="36" t="s">
        <v>101</v>
      </c>
      <c r="N54" s="96" t="s">
        <v>135</v>
      </c>
      <c r="O54" s="93">
        <v>0.16527777777777777</v>
      </c>
      <c r="P54" s="36" t="s">
        <v>103</v>
      </c>
      <c r="Q54" s="96"/>
      <c r="R54" s="2"/>
      <c r="S54" s="33"/>
    </row>
    <row r="55" spans="8:19" x14ac:dyDescent="0.25">
      <c r="H55" s="96"/>
      <c r="I55" s="2"/>
      <c r="J55" s="2"/>
      <c r="K55" s="102" t="s">
        <v>147</v>
      </c>
      <c r="L55" s="93">
        <v>0.125</v>
      </c>
      <c r="M55" s="36" t="s">
        <v>102</v>
      </c>
      <c r="N55" s="96" t="s">
        <v>136</v>
      </c>
      <c r="O55" s="93">
        <v>4.2361111111111106E-2</v>
      </c>
      <c r="P55" s="36" t="s">
        <v>103</v>
      </c>
      <c r="Q55" s="96"/>
      <c r="R55" s="2"/>
      <c r="S55" s="33"/>
    </row>
    <row r="56" spans="8:19" x14ac:dyDescent="0.25">
      <c r="H56" s="96"/>
      <c r="I56" s="2"/>
      <c r="J56" s="2"/>
      <c r="K56" s="102" t="s">
        <v>184</v>
      </c>
      <c r="L56" s="93">
        <v>5.2083333333333336E-2</v>
      </c>
      <c r="M56" s="36" t="s">
        <v>102</v>
      </c>
      <c r="N56" s="96" t="s">
        <v>137</v>
      </c>
      <c r="O56" s="93">
        <v>1.7361111111111112E-2</v>
      </c>
      <c r="P56" s="36" t="s">
        <v>103</v>
      </c>
      <c r="Q56" s="96"/>
      <c r="R56" s="2"/>
      <c r="S56" s="33"/>
    </row>
    <row r="57" spans="8:19" x14ac:dyDescent="0.25">
      <c r="H57" s="96"/>
      <c r="I57" s="2"/>
      <c r="J57" s="2"/>
      <c r="K57" s="104" t="s">
        <v>148</v>
      </c>
      <c r="L57" s="2"/>
      <c r="M57" s="36" t="s">
        <v>102</v>
      </c>
      <c r="N57" s="96" t="s">
        <v>138</v>
      </c>
      <c r="O57" s="93">
        <v>6.9444444444444441E-3</v>
      </c>
      <c r="P57" s="36" t="s">
        <v>103</v>
      </c>
      <c r="Q57" s="96"/>
      <c r="R57" s="2"/>
      <c r="S57" s="33"/>
    </row>
    <row r="58" spans="8:19" x14ac:dyDescent="0.25">
      <c r="H58" s="96"/>
      <c r="I58" s="2"/>
      <c r="J58" s="2"/>
      <c r="K58" s="102" t="s">
        <v>149</v>
      </c>
      <c r="L58" s="93">
        <v>1.3888888888888888E-2</v>
      </c>
      <c r="M58" s="36" t="s">
        <v>102</v>
      </c>
      <c r="N58" s="96"/>
      <c r="O58" s="2"/>
      <c r="P58" s="2"/>
      <c r="Q58" s="96"/>
      <c r="R58" s="2"/>
      <c r="S58" s="33"/>
    </row>
    <row r="59" spans="8:19" x14ac:dyDescent="0.25">
      <c r="H59" s="96"/>
      <c r="I59" s="2"/>
      <c r="J59" s="2"/>
      <c r="K59" s="102" t="s">
        <v>150</v>
      </c>
      <c r="L59" s="93">
        <v>3.4722222222222224E-2</v>
      </c>
      <c r="M59" s="36" t="s">
        <v>102</v>
      </c>
      <c r="N59" s="96"/>
      <c r="O59" s="2"/>
      <c r="P59" s="2"/>
      <c r="Q59" s="96"/>
      <c r="R59" s="2"/>
      <c r="S59" s="33"/>
    </row>
    <row r="60" spans="8:19" x14ac:dyDescent="0.25">
      <c r="H60" s="96"/>
      <c r="I60" s="2"/>
      <c r="J60" s="2"/>
      <c r="K60" s="102" t="s">
        <v>149</v>
      </c>
      <c r="L60" s="93">
        <v>1.0416666666666666E-2</v>
      </c>
      <c r="M60" s="36" t="s">
        <v>102</v>
      </c>
      <c r="N60" s="96"/>
      <c r="O60" s="2"/>
      <c r="P60" s="2"/>
      <c r="Q60" s="96"/>
      <c r="R60" s="2"/>
      <c r="S60" s="33"/>
    </row>
    <row r="61" spans="8:19" x14ac:dyDescent="0.25">
      <c r="H61" s="96"/>
      <c r="I61" s="2"/>
      <c r="J61" s="2"/>
      <c r="K61" s="102" t="s">
        <v>151</v>
      </c>
      <c r="L61" s="93">
        <v>5.2083333333333336E-2</v>
      </c>
      <c r="M61" s="36" t="s">
        <v>102</v>
      </c>
      <c r="N61" s="96"/>
      <c r="O61" s="2"/>
      <c r="P61" s="2"/>
      <c r="Q61" s="96"/>
      <c r="R61" s="2"/>
      <c r="S61" s="33"/>
    </row>
    <row r="62" spans="8:19" x14ac:dyDescent="0.25">
      <c r="H62" s="96"/>
      <c r="I62" s="2"/>
      <c r="J62" s="2"/>
      <c r="K62" s="102" t="s">
        <v>152</v>
      </c>
      <c r="L62" s="93">
        <v>0.10416666666666667</v>
      </c>
      <c r="M62" s="36" t="s">
        <v>102</v>
      </c>
      <c r="N62" s="96"/>
      <c r="O62" s="2"/>
      <c r="P62" s="2"/>
      <c r="Q62" s="96"/>
      <c r="R62" s="2"/>
      <c r="S62" s="33"/>
    </row>
    <row r="63" spans="8:19" x14ac:dyDescent="0.25">
      <c r="H63" s="96"/>
      <c r="I63" s="2"/>
      <c r="J63" s="2"/>
      <c r="K63" s="102" t="s">
        <v>145</v>
      </c>
      <c r="L63" s="93">
        <v>4.1666666666666664E-2</v>
      </c>
      <c r="M63" s="36" t="s">
        <v>103</v>
      </c>
      <c r="N63" s="96"/>
      <c r="O63" s="2"/>
      <c r="P63" s="2"/>
      <c r="Q63" s="96"/>
      <c r="R63" s="2"/>
      <c r="S63" s="33"/>
    </row>
    <row r="64" spans="8:19" x14ac:dyDescent="0.25">
      <c r="H64" s="96"/>
      <c r="I64" s="2"/>
      <c r="J64" s="2"/>
      <c r="K64" s="102" t="s">
        <v>148</v>
      </c>
      <c r="L64" s="93">
        <v>6.9444444444444441E-3</v>
      </c>
      <c r="M64" s="36" t="s">
        <v>103</v>
      </c>
      <c r="N64" s="96"/>
      <c r="O64" s="2"/>
      <c r="P64" s="2"/>
      <c r="Q64" s="96"/>
      <c r="R64" s="2"/>
      <c r="S64" s="33"/>
    </row>
    <row r="65" spans="8:19" x14ac:dyDescent="0.25">
      <c r="H65" s="96"/>
      <c r="I65" s="2"/>
      <c r="J65" s="2"/>
      <c r="K65" s="102" t="s">
        <v>185</v>
      </c>
      <c r="L65" s="93">
        <v>3.4722222222222224E-2</v>
      </c>
      <c r="M65" s="36" t="s">
        <v>103</v>
      </c>
      <c r="N65" s="96"/>
      <c r="O65" s="2"/>
      <c r="P65" s="2"/>
      <c r="Q65" s="96"/>
      <c r="R65" s="2"/>
      <c r="S65" s="33"/>
    </row>
    <row r="66" spans="8:19" x14ac:dyDescent="0.25">
      <c r="H66" s="96"/>
      <c r="I66" s="2"/>
      <c r="J66" s="2"/>
      <c r="K66" s="102" t="s">
        <v>186</v>
      </c>
      <c r="L66" s="93">
        <v>5.5555555555555552E-2</v>
      </c>
      <c r="M66" s="36" t="s">
        <v>103</v>
      </c>
      <c r="N66" s="96"/>
      <c r="O66" s="2"/>
      <c r="P66" s="2"/>
      <c r="Q66" s="96"/>
      <c r="R66" s="2"/>
      <c r="S66" s="33"/>
    </row>
    <row r="67" spans="8:19" x14ac:dyDescent="0.25">
      <c r="H67" s="96"/>
      <c r="I67" s="2"/>
      <c r="J67" s="2"/>
      <c r="K67" s="102" t="s">
        <v>187</v>
      </c>
      <c r="L67" s="93">
        <v>8.0555555555555561E-2</v>
      </c>
      <c r="M67" s="36" t="s">
        <v>103</v>
      </c>
      <c r="N67" s="96"/>
      <c r="O67" s="2"/>
      <c r="P67" s="2"/>
      <c r="Q67" s="96"/>
      <c r="R67" s="2"/>
      <c r="S67" s="33"/>
    </row>
    <row r="68" spans="8:19" x14ac:dyDescent="0.25">
      <c r="H68" s="96"/>
      <c r="I68" s="2"/>
      <c r="J68" s="2"/>
      <c r="K68" s="102" t="s">
        <v>188</v>
      </c>
      <c r="L68" s="93">
        <v>0.16527777777777777</v>
      </c>
      <c r="M68" s="36" t="s">
        <v>103</v>
      </c>
      <c r="N68" s="96"/>
      <c r="O68" s="2"/>
      <c r="P68" s="2"/>
      <c r="Q68" s="96"/>
      <c r="R68" s="2"/>
      <c r="S68" s="33"/>
    </row>
    <row r="69" spans="8:19" x14ac:dyDescent="0.25">
      <c r="H69" s="96"/>
      <c r="I69" s="2"/>
      <c r="J69" s="2"/>
      <c r="K69" s="102" t="s">
        <v>189</v>
      </c>
      <c r="L69" s="93">
        <v>1.0416666666666666E-2</v>
      </c>
      <c r="M69" s="36" t="s">
        <v>103</v>
      </c>
      <c r="N69" s="96"/>
      <c r="O69" s="2"/>
      <c r="P69" s="2"/>
      <c r="Q69" s="96"/>
      <c r="R69" s="2"/>
      <c r="S69" s="33"/>
    </row>
    <row r="70" spans="8:19" x14ac:dyDescent="0.25">
      <c r="H70" s="96"/>
      <c r="I70" s="2"/>
      <c r="J70" s="2"/>
      <c r="K70" s="102" t="s">
        <v>190</v>
      </c>
      <c r="L70" s="93">
        <v>3.472222222222222E-3</v>
      </c>
      <c r="M70" s="36" t="s">
        <v>103</v>
      </c>
      <c r="N70" s="96"/>
      <c r="O70" s="2"/>
      <c r="P70" s="2"/>
      <c r="Q70" s="96"/>
      <c r="R70" s="2"/>
      <c r="S70" s="33"/>
    </row>
    <row r="71" spans="8:19" x14ac:dyDescent="0.25">
      <c r="H71" s="96"/>
      <c r="I71" s="2"/>
      <c r="J71" s="2"/>
      <c r="K71" s="102" t="s">
        <v>191</v>
      </c>
      <c r="L71" s="93">
        <v>3.3333333333333333E-2</v>
      </c>
      <c r="M71" s="36" t="s">
        <v>103</v>
      </c>
      <c r="N71" s="96"/>
      <c r="O71" s="2"/>
      <c r="P71" s="2"/>
      <c r="Q71" s="96"/>
      <c r="R71" s="2"/>
      <c r="S71" s="33"/>
    </row>
    <row r="72" spans="8:19" x14ac:dyDescent="0.25">
      <c r="H72" s="96"/>
      <c r="I72" s="2"/>
      <c r="J72" s="2"/>
      <c r="K72" s="102" t="s">
        <v>192</v>
      </c>
      <c r="L72" s="93">
        <v>6.9444444444444441E-3</v>
      </c>
      <c r="M72" s="36" t="s">
        <v>103</v>
      </c>
      <c r="N72" s="96"/>
      <c r="O72" s="2"/>
      <c r="P72" s="2"/>
      <c r="Q72" s="96"/>
      <c r="R72" s="2"/>
      <c r="S72" s="33"/>
    </row>
    <row r="73" spans="8:19" x14ac:dyDescent="0.25">
      <c r="H73" s="96"/>
      <c r="I73" s="2"/>
      <c r="J73" s="2"/>
      <c r="K73" s="102" t="s">
        <v>193</v>
      </c>
      <c r="L73" s="93">
        <v>2.7777777777777776E-2</v>
      </c>
      <c r="M73" s="36" t="s">
        <v>103</v>
      </c>
      <c r="N73" s="96"/>
      <c r="O73" s="2"/>
      <c r="P73" s="2"/>
      <c r="Q73" s="96"/>
      <c r="R73" s="2"/>
      <c r="S73" s="33"/>
    </row>
    <row r="74" spans="8:19" x14ac:dyDescent="0.25">
      <c r="H74" s="96"/>
      <c r="I74" s="2"/>
      <c r="J74" s="2"/>
      <c r="K74" s="102" t="s">
        <v>194</v>
      </c>
      <c r="L74" s="93">
        <v>5.7638888888888885E-2</v>
      </c>
      <c r="M74" s="36" t="s">
        <v>103</v>
      </c>
      <c r="N74" s="96"/>
      <c r="O74" s="2"/>
      <c r="P74" s="2"/>
      <c r="Q74" s="96"/>
      <c r="R74" s="2"/>
      <c r="S74" s="33"/>
    </row>
    <row r="75" spans="8:19" x14ac:dyDescent="0.25">
      <c r="H75" s="96"/>
      <c r="I75" s="2"/>
      <c r="J75" s="2"/>
      <c r="K75" s="102" t="s">
        <v>166</v>
      </c>
      <c r="L75" s="93">
        <v>6.9444444444444441E-3</v>
      </c>
      <c r="M75" s="36" t="s">
        <v>103</v>
      </c>
      <c r="N75" s="96"/>
      <c r="O75" s="2"/>
      <c r="P75" s="2"/>
      <c r="Q75" s="96"/>
      <c r="R75" s="2"/>
      <c r="S75" s="33"/>
    </row>
    <row r="76" spans="8:19" x14ac:dyDescent="0.25">
      <c r="H76" s="96"/>
      <c r="I76" s="2"/>
      <c r="J76" s="2"/>
      <c r="K76" s="102" t="s">
        <v>195</v>
      </c>
      <c r="L76" s="93">
        <v>2.4999999999999998E-2</v>
      </c>
      <c r="M76" s="36" t="s">
        <v>103</v>
      </c>
      <c r="N76" s="96"/>
      <c r="O76" s="2"/>
      <c r="P76" s="2"/>
      <c r="Q76" s="96"/>
      <c r="R76" s="2"/>
      <c r="S76" s="33"/>
    </row>
    <row r="77" spans="8:19" x14ac:dyDescent="0.25">
      <c r="H77" s="96"/>
      <c r="I77" s="2"/>
      <c r="J77" s="2"/>
      <c r="K77" s="102" t="s">
        <v>196</v>
      </c>
      <c r="L77" s="93">
        <v>3.4027777777777775E-2</v>
      </c>
      <c r="M77" s="36" t="s">
        <v>103</v>
      </c>
      <c r="N77" s="96"/>
      <c r="O77" s="2"/>
      <c r="P77" s="2"/>
      <c r="Q77" s="96"/>
      <c r="R77" s="2"/>
      <c r="S77" s="33"/>
    </row>
    <row r="78" spans="8:19" x14ac:dyDescent="0.25">
      <c r="H78" s="96"/>
      <c r="I78" s="2"/>
      <c r="J78" s="2"/>
      <c r="K78" s="102" t="s">
        <v>197</v>
      </c>
      <c r="L78" s="93">
        <v>5.4166666666666669E-2</v>
      </c>
      <c r="M78" s="36" t="s">
        <v>103</v>
      </c>
      <c r="N78" s="96"/>
      <c r="O78" s="2"/>
      <c r="P78" s="2"/>
      <c r="Q78" s="96"/>
      <c r="R78" s="2"/>
      <c r="S78" s="33"/>
    </row>
    <row r="79" spans="8:19" x14ac:dyDescent="0.25">
      <c r="H79" s="96"/>
      <c r="I79" s="2"/>
      <c r="J79" s="2"/>
      <c r="K79" s="102" t="s">
        <v>174</v>
      </c>
      <c r="L79" s="93">
        <v>2.7777777777777779E-3</v>
      </c>
      <c r="M79" s="36" t="s">
        <v>103</v>
      </c>
      <c r="N79" s="96"/>
      <c r="O79" s="2"/>
      <c r="P79" s="2"/>
      <c r="Q79" s="96"/>
      <c r="R79" s="2"/>
      <c r="S79" s="33"/>
    </row>
    <row r="80" spans="8:19" x14ac:dyDescent="0.25">
      <c r="H80" s="96"/>
      <c r="I80" s="2"/>
      <c r="J80" s="2"/>
      <c r="K80" s="96"/>
      <c r="L80" s="93"/>
      <c r="M80" s="36"/>
      <c r="N80" s="96"/>
      <c r="O80" s="2"/>
      <c r="P80" s="2"/>
      <c r="Q80" s="96"/>
      <c r="R80" s="2"/>
      <c r="S80" s="33"/>
    </row>
    <row r="81" spans="8:19" x14ac:dyDescent="0.25">
      <c r="H81" s="96"/>
      <c r="I81" s="2"/>
      <c r="J81" s="2"/>
      <c r="K81" s="96"/>
      <c r="L81" s="93"/>
      <c r="M81" s="2"/>
      <c r="N81" s="96"/>
      <c r="O81" s="2"/>
      <c r="P81" s="2"/>
      <c r="Q81" s="96"/>
      <c r="R81" s="2"/>
      <c r="S81" s="33"/>
    </row>
    <row r="82" spans="8:19" x14ac:dyDescent="0.25">
      <c r="H82" s="96"/>
      <c r="I82" s="2"/>
      <c r="J82" s="2"/>
      <c r="K82" s="96"/>
      <c r="L82" s="93"/>
      <c r="M82" s="2"/>
      <c r="N82" s="96"/>
      <c r="O82" s="2"/>
      <c r="P82" s="2"/>
      <c r="Q82" s="96"/>
      <c r="R82" s="2"/>
      <c r="S82" s="33"/>
    </row>
    <row r="83" spans="8:19" x14ac:dyDescent="0.25">
      <c r="H83" s="96"/>
      <c r="I83" s="2"/>
      <c r="J83" s="2"/>
      <c r="K83" s="96"/>
      <c r="L83" s="93"/>
      <c r="M83" s="2"/>
      <c r="N83" s="96"/>
      <c r="O83" s="2"/>
      <c r="P83" s="2"/>
      <c r="Q83" s="96"/>
      <c r="R83" s="2"/>
      <c r="S83" s="33"/>
    </row>
    <row r="84" spans="8:19" x14ac:dyDescent="0.25">
      <c r="H84" s="96"/>
      <c r="I84" s="2"/>
      <c r="J84" s="2"/>
      <c r="K84" s="96"/>
      <c r="L84" s="2"/>
      <c r="M84" s="2"/>
      <c r="N84" s="96"/>
      <c r="O84" s="2"/>
      <c r="P84" s="2"/>
      <c r="Q84" s="96"/>
      <c r="R84" s="2"/>
      <c r="S84" s="33"/>
    </row>
    <row r="85" spans="8:19" x14ac:dyDescent="0.25">
      <c r="H85" s="96"/>
      <c r="I85" s="2"/>
      <c r="J85" s="2"/>
      <c r="K85" s="96"/>
      <c r="L85" s="93"/>
      <c r="M85" s="2"/>
      <c r="N85" s="96"/>
      <c r="O85" s="2"/>
      <c r="P85" s="2"/>
      <c r="Q85" s="96"/>
      <c r="R85" s="2"/>
      <c r="S85" s="33"/>
    </row>
    <row r="86" spans="8:19" x14ac:dyDescent="0.25">
      <c r="H86" s="96"/>
      <c r="I86" s="2"/>
      <c r="J86" s="2"/>
      <c r="K86" s="96"/>
      <c r="L86" s="93"/>
      <c r="M86" s="2"/>
      <c r="N86" s="96"/>
      <c r="O86" s="2"/>
      <c r="P86" s="2"/>
      <c r="Q86" s="96"/>
      <c r="R86" s="2"/>
      <c r="S86" s="33"/>
    </row>
    <row r="87" spans="8:19" x14ac:dyDescent="0.25">
      <c r="H87" s="96"/>
      <c r="I87" s="2"/>
      <c r="J87" s="2"/>
      <c r="K87" s="96"/>
      <c r="L87" s="93"/>
      <c r="M87" s="2"/>
      <c r="N87" s="96"/>
      <c r="O87" s="2"/>
      <c r="P87" s="2"/>
      <c r="Q87" s="96"/>
      <c r="R87" s="2"/>
      <c r="S87" s="33"/>
    </row>
    <row r="88" spans="8:19" x14ac:dyDescent="0.25">
      <c r="H88" s="96"/>
      <c r="I88" s="2"/>
      <c r="J88" s="2"/>
      <c r="K88" s="96"/>
      <c r="L88" s="93"/>
      <c r="M88" s="2"/>
      <c r="N88" s="96"/>
      <c r="O88" s="2"/>
      <c r="P88" s="2"/>
      <c r="Q88" s="96"/>
      <c r="R88" s="2"/>
      <c r="S88" s="33"/>
    </row>
    <row r="89" spans="8:19" x14ac:dyDescent="0.25">
      <c r="H89" s="96"/>
      <c r="I89" s="2"/>
      <c r="J89" s="2"/>
      <c r="K89" s="96"/>
      <c r="L89" s="93"/>
      <c r="M89" s="2"/>
      <c r="N89" s="96"/>
      <c r="O89" s="2"/>
      <c r="P89" s="2"/>
      <c r="Q89" s="96"/>
      <c r="R89" s="2"/>
      <c r="S89" s="33"/>
    </row>
    <row r="90" spans="8:19" x14ac:dyDescent="0.25">
      <c r="H90" s="96"/>
      <c r="I90" s="2"/>
      <c r="J90" s="2"/>
      <c r="K90" s="96"/>
      <c r="L90" s="93"/>
      <c r="M90" s="2"/>
      <c r="N90" s="96"/>
      <c r="O90" s="2"/>
      <c r="P90" s="2"/>
      <c r="Q90" s="96"/>
      <c r="R90" s="2"/>
      <c r="S90" s="33"/>
    </row>
    <row r="91" spans="8:19" x14ac:dyDescent="0.25">
      <c r="H91" s="96"/>
      <c r="I91" s="2"/>
      <c r="J91" s="2"/>
      <c r="K91" s="96"/>
      <c r="L91" s="2"/>
      <c r="M91" s="2"/>
      <c r="N91" s="96"/>
      <c r="O91" s="2"/>
      <c r="P91" s="2"/>
      <c r="Q91" s="96"/>
      <c r="R91" s="2"/>
      <c r="S91" s="33"/>
    </row>
    <row r="92" spans="8:19" x14ac:dyDescent="0.25">
      <c r="H92" s="96"/>
      <c r="I92" s="2"/>
      <c r="J92" s="2"/>
      <c r="K92" s="96"/>
      <c r="L92" s="2"/>
      <c r="M92" s="2"/>
      <c r="N92" s="96"/>
      <c r="O92" s="2"/>
      <c r="P92" s="2"/>
      <c r="Q92" s="96"/>
      <c r="R92" s="2"/>
      <c r="S92" s="33"/>
    </row>
    <row r="93" spans="8:19" x14ac:dyDescent="0.25">
      <c r="H93" s="96"/>
      <c r="I93" s="2"/>
      <c r="J93" s="2"/>
      <c r="K93" s="96"/>
      <c r="L93" s="99"/>
      <c r="M93" s="2"/>
      <c r="N93" s="96"/>
      <c r="O93" s="2"/>
      <c r="P93" s="2"/>
      <c r="Q93" s="96"/>
      <c r="R93" s="2"/>
      <c r="S93" s="33"/>
    </row>
    <row r="94" spans="8:19" x14ac:dyDescent="0.25">
      <c r="H94" s="96"/>
      <c r="I94" s="2"/>
      <c r="J94" s="2"/>
      <c r="K94" s="96"/>
      <c r="L94" s="2"/>
      <c r="M94" s="2"/>
      <c r="N94" s="96"/>
      <c r="O94" s="2"/>
      <c r="P94" s="2"/>
      <c r="Q94" s="96"/>
      <c r="R94" s="2"/>
      <c r="S94" s="33"/>
    </row>
    <row r="95" spans="8:19" x14ac:dyDescent="0.25">
      <c r="H95" s="96"/>
      <c r="I95" s="2"/>
      <c r="J95" s="2"/>
      <c r="K95" s="96"/>
      <c r="L95" s="2"/>
      <c r="M95" s="2"/>
      <c r="N95" s="96"/>
      <c r="O95" s="2"/>
      <c r="P95" s="2"/>
      <c r="Q95" s="96"/>
      <c r="R95" s="2"/>
      <c r="S95" s="33"/>
    </row>
    <row r="96" spans="8:19" x14ac:dyDescent="0.25">
      <c r="H96" s="96"/>
      <c r="I96" s="2"/>
      <c r="J96" s="2"/>
      <c r="K96" s="96"/>
      <c r="L96" s="2"/>
      <c r="M96" s="2"/>
      <c r="N96" s="96"/>
      <c r="O96" s="2"/>
      <c r="P96" s="2"/>
      <c r="Q96" s="96"/>
      <c r="R96" s="2"/>
      <c r="S96" s="33"/>
    </row>
    <row r="97" spans="8:19" x14ac:dyDescent="0.25">
      <c r="H97" s="96"/>
      <c r="I97" s="2"/>
      <c r="J97" s="2"/>
      <c r="K97" s="96"/>
      <c r="L97" s="2"/>
      <c r="M97" s="2"/>
      <c r="N97" s="96"/>
      <c r="O97" s="2"/>
      <c r="P97" s="2"/>
      <c r="Q97" s="96"/>
      <c r="R97" s="2"/>
      <c r="S97" s="33"/>
    </row>
    <row r="98" spans="8:19" x14ac:dyDescent="0.25">
      <c r="H98" s="96"/>
      <c r="I98" s="2"/>
      <c r="J98" s="2"/>
      <c r="K98" s="96"/>
      <c r="L98" s="2"/>
      <c r="M98" s="2"/>
      <c r="N98" s="96"/>
      <c r="O98" s="2"/>
      <c r="P98" s="2"/>
      <c r="Q98" s="96"/>
      <c r="R98" s="2"/>
      <c r="S98" s="33"/>
    </row>
    <row r="99" spans="8:19" x14ac:dyDescent="0.25">
      <c r="H99" s="96"/>
      <c r="I99" s="2"/>
      <c r="J99" s="2"/>
      <c r="K99" s="96"/>
      <c r="L99" s="2"/>
      <c r="M99" s="2"/>
      <c r="N99" s="96"/>
      <c r="O99" s="2"/>
      <c r="P99" s="2"/>
      <c r="Q99" s="96"/>
      <c r="R99" s="2"/>
      <c r="S99" s="33"/>
    </row>
    <row r="100" spans="8:19" x14ac:dyDescent="0.25">
      <c r="H100" s="96"/>
      <c r="I100" s="2"/>
      <c r="J100" s="2"/>
      <c r="K100" s="96"/>
      <c r="L100" s="2"/>
      <c r="M100" s="2"/>
      <c r="N100" s="96"/>
      <c r="O100" s="2"/>
      <c r="P100" s="2"/>
      <c r="Q100" s="96"/>
      <c r="R100" s="2"/>
      <c r="S100" s="33"/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Sprint">
                <anchor moveWithCells="1" sizeWithCells="1">
                  <from>
                    <xdr:col>1</xdr:col>
                    <xdr:colOff>390525</xdr:colOff>
                    <xdr:row>1</xdr:row>
                    <xdr:rowOff>19050</xdr:rowOff>
                  </from>
                  <to>
                    <xdr:col>1</xdr:col>
                    <xdr:colOff>1381125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removeSprint">
                <anchor moveWithCells="1" sizeWithCells="1">
                  <from>
                    <xdr:col>1</xdr:col>
                    <xdr:colOff>1685925</xdr:colOff>
                    <xdr:row>1</xdr:row>
                    <xdr:rowOff>9525</xdr:rowOff>
                  </from>
                  <to>
                    <xdr:col>1</xdr:col>
                    <xdr:colOff>2619375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opyIssues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3</xdr:col>
                    <xdr:colOff>428625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R6" sqref="R6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8" t="s">
        <v>76</v>
      </c>
      <c r="B1" s="2"/>
    </row>
    <row r="2" spans="1:21" x14ac:dyDescent="0.25">
      <c r="A2" s="68" t="s">
        <v>37</v>
      </c>
      <c r="B2" s="69"/>
      <c r="C2" s="70"/>
      <c r="D2" s="77" t="s">
        <v>1</v>
      </c>
      <c r="E2" s="78"/>
      <c r="F2" s="79"/>
      <c r="G2" s="77" t="s">
        <v>2</v>
      </c>
      <c r="H2" s="81"/>
      <c r="I2" s="79"/>
      <c r="J2" s="77" t="s">
        <v>3</v>
      </c>
      <c r="K2" s="81"/>
      <c r="L2" s="79"/>
      <c r="M2" s="77" t="s">
        <v>4</v>
      </c>
      <c r="N2" s="81"/>
      <c r="O2" s="79"/>
      <c r="P2" s="77" t="s">
        <v>5</v>
      </c>
      <c r="Q2" s="81"/>
      <c r="R2" s="79"/>
      <c r="S2" s="77" t="s">
        <v>6</v>
      </c>
      <c r="T2" s="81"/>
      <c r="U2" s="79"/>
    </row>
    <row r="3" spans="1:21" x14ac:dyDescent="0.25">
      <c r="A3" s="71" t="s">
        <v>77</v>
      </c>
      <c r="B3" s="51" t="s">
        <v>60</v>
      </c>
      <c r="C3" s="66" t="s">
        <v>78</v>
      </c>
      <c r="D3" s="80" t="s">
        <v>77</v>
      </c>
      <c r="E3" s="51" t="s">
        <v>60</v>
      </c>
      <c r="F3" s="67" t="s">
        <v>78</v>
      </c>
      <c r="G3" s="82" t="s">
        <v>77</v>
      </c>
      <c r="H3" s="63" t="s">
        <v>60</v>
      </c>
      <c r="I3" s="83" t="s">
        <v>78</v>
      </c>
      <c r="J3" s="82" t="s">
        <v>77</v>
      </c>
      <c r="K3" s="63" t="s">
        <v>60</v>
      </c>
      <c r="L3" s="83" t="s">
        <v>78</v>
      </c>
      <c r="M3" s="82" t="s">
        <v>77</v>
      </c>
      <c r="N3" s="63" t="s">
        <v>60</v>
      </c>
      <c r="O3" s="83" t="s">
        <v>78</v>
      </c>
      <c r="P3" s="82" t="s">
        <v>77</v>
      </c>
      <c r="Q3" s="63" t="s">
        <v>60</v>
      </c>
      <c r="R3" s="83" t="s">
        <v>78</v>
      </c>
      <c r="S3" s="82" t="s">
        <v>77</v>
      </c>
      <c r="T3" s="63" t="s">
        <v>60</v>
      </c>
      <c r="U3" s="83" t="s">
        <v>78</v>
      </c>
    </row>
    <row r="4" spans="1:21" x14ac:dyDescent="0.25">
      <c r="A4" s="72">
        <v>42482</v>
      </c>
      <c r="B4" s="52">
        <v>7.6388888888888895E-2</v>
      </c>
      <c r="C4" s="84" t="s">
        <v>79</v>
      </c>
      <c r="D4" s="72">
        <v>42493</v>
      </c>
      <c r="E4" s="52">
        <v>4.1666666666666664E-2</v>
      </c>
      <c r="F4" s="84" t="s">
        <v>79</v>
      </c>
      <c r="G4" s="72">
        <v>42500</v>
      </c>
      <c r="H4" s="52">
        <v>6.9444444444444434E-2</v>
      </c>
      <c r="I4" s="84" t="s">
        <v>79</v>
      </c>
      <c r="J4" s="90">
        <v>42507</v>
      </c>
      <c r="K4" s="91">
        <v>3.4722222222222224E-2</v>
      </c>
      <c r="L4" s="86" t="s">
        <v>79</v>
      </c>
      <c r="M4" s="72">
        <v>42514</v>
      </c>
      <c r="N4" s="52">
        <v>3.125E-2</v>
      </c>
      <c r="O4" s="84" t="s">
        <v>79</v>
      </c>
      <c r="P4" s="90">
        <v>42521</v>
      </c>
      <c r="Q4" s="60">
        <v>3.125E-2</v>
      </c>
      <c r="R4" s="92" t="s">
        <v>79</v>
      </c>
      <c r="S4" s="74"/>
      <c r="T4" s="54"/>
      <c r="U4" s="84"/>
    </row>
    <row r="5" spans="1:21" x14ac:dyDescent="0.25">
      <c r="A5" s="72">
        <v>42486</v>
      </c>
      <c r="B5" s="52">
        <v>4.8611111111111112E-2</v>
      </c>
      <c r="C5" s="84" t="s">
        <v>79</v>
      </c>
      <c r="D5" s="72">
        <v>42496</v>
      </c>
      <c r="E5" s="52">
        <v>4.1666666666666664E-2</v>
      </c>
      <c r="F5" s="84" t="s">
        <v>80</v>
      </c>
      <c r="G5" s="72">
        <v>42503</v>
      </c>
      <c r="H5" s="52">
        <v>3.6111111111111115E-2</v>
      </c>
      <c r="I5" s="84" t="s">
        <v>82</v>
      </c>
      <c r="J5" s="1">
        <v>42508</v>
      </c>
      <c r="K5" s="60">
        <v>5.2083333333333336E-2</v>
      </c>
      <c r="L5" s="86" t="s">
        <v>97</v>
      </c>
      <c r="M5" s="72">
        <v>42517</v>
      </c>
      <c r="N5" s="52">
        <v>2.0833333333333332E-2</v>
      </c>
      <c r="O5" s="84" t="s">
        <v>238</v>
      </c>
      <c r="P5" s="90">
        <v>42521</v>
      </c>
      <c r="Q5" s="60">
        <v>2.7777777777777776E-2</v>
      </c>
      <c r="R5" s="92" t="s">
        <v>267</v>
      </c>
      <c r="S5" s="74"/>
      <c r="T5" s="54"/>
      <c r="U5" s="84"/>
    </row>
    <row r="6" spans="1:21" x14ac:dyDescent="0.25">
      <c r="A6" s="72">
        <v>42487</v>
      </c>
      <c r="B6" s="52">
        <v>4.8611111111111112E-2</v>
      </c>
      <c r="C6" s="84" t="s">
        <v>79</v>
      </c>
      <c r="D6" s="72">
        <v>42496</v>
      </c>
      <c r="E6" s="52">
        <v>2.7777777777777776E-2</v>
      </c>
      <c r="F6" s="84" t="s">
        <v>79</v>
      </c>
      <c r="G6" s="72">
        <v>42503</v>
      </c>
      <c r="H6" s="52">
        <v>3.4722222222222224E-2</v>
      </c>
      <c r="I6" s="84" t="s">
        <v>83</v>
      </c>
      <c r="J6" s="90">
        <v>42508</v>
      </c>
      <c r="K6" s="91">
        <v>2.0833333333333332E-2</v>
      </c>
      <c r="L6" s="86" t="s">
        <v>98</v>
      </c>
      <c r="M6" s="72">
        <v>42517</v>
      </c>
      <c r="N6" s="52">
        <v>2.9166666666666664E-2</v>
      </c>
      <c r="O6" s="84" t="s">
        <v>83</v>
      </c>
      <c r="P6" s="90">
        <v>42522</v>
      </c>
      <c r="Q6" s="60">
        <v>4.1666666666666664E-2</v>
      </c>
      <c r="R6" s="92" t="s">
        <v>268</v>
      </c>
      <c r="S6" s="74"/>
      <c r="T6" s="54"/>
      <c r="U6" s="84"/>
    </row>
    <row r="7" spans="1:21" x14ac:dyDescent="0.25">
      <c r="A7" s="72">
        <v>42489</v>
      </c>
      <c r="B7" s="52">
        <v>7.6388888888888895E-2</v>
      </c>
      <c r="C7" s="84" t="s">
        <v>79</v>
      </c>
      <c r="D7" s="74"/>
      <c r="E7" s="52"/>
      <c r="F7" s="84"/>
      <c r="G7" s="74"/>
      <c r="H7" s="54"/>
      <c r="I7" s="84"/>
      <c r="J7" s="90">
        <v>42508</v>
      </c>
      <c r="K7" s="91">
        <v>1.0416666666666666E-2</v>
      </c>
      <c r="L7" s="92" t="s">
        <v>99</v>
      </c>
      <c r="M7" s="74"/>
      <c r="N7" s="54"/>
      <c r="O7" s="84"/>
      <c r="P7" s="1">
        <v>42524</v>
      </c>
      <c r="Q7" s="89">
        <v>2.7777777777777776E-2</v>
      </c>
      <c r="R7" s="112" t="s">
        <v>270</v>
      </c>
      <c r="S7" s="74"/>
      <c r="T7" s="54"/>
      <c r="U7" s="84"/>
    </row>
    <row r="8" spans="1:21" x14ac:dyDescent="0.25">
      <c r="A8" s="72">
        <v>42491</v>
      </c>
      <c r="B8" s="52">
        <v>4.1666666666666664E-2</v>
      </c>
      <c r="C8" s="84" t="s">
        <v>79</v>
      </c>
      <c r="D8" s="74"/>
      <c r="E8" s="54"/>
      <c r="F8" s="84"/>
      <c r="G8" s="74"/>
      <c r="H8" s="54"/>
      <c r="I8" s="84"/>
      <c r="J8" s="90">
        <v>42511</v>
      </c>
      <c r="K8" s="91">
        <v>2.0833333333333332E-2</v>
      </c>
      <c r="L8" s="86" t="s">
        <v>84</v>
      </c>
      <c r="M8" s="74"/>
      <c r="N8" s="54"/>
      <c r="O8" s="84"/>
      <c r="P8" s="72">
        <v>42524</v>
      </c>
      <c r="Q8" s="52">
        <v>1.3888888888888888E-2</v>
      </c>
      <c r="R8" s="84" t="s">
        <v>269</v>
      </c>
      <c r="S8" s="74"/>
      <c r="T8" s="54"/>
      <c r="U8" s="84"/>
    </row>
    <row r="9" spans="1:21" x14ac:dyDescent="0.25">
      <c r="A9" s="73"/>
      <c r="B9" s="64"/>
      <c r="C9" s="84"/>
      <c r="D9" s="74"/>
      <c r="E9" s="54"/>
      <c r="F9" s="84"/>
      <c r="G9" s="74"/>
      <c r="H9" s="54"/>
      <c r="I9" s="84"/>
      <c r="J9" s="74"/>
      <c r="K9" s="87"/>
      <c r="L9" s="84"/>
      <c r="M9" s="74"/>
      <c r="N9" s="54"/>
      <c r="O9" s="84"/>
      <c r="P9" s="90">
        <v>42526</v>
      </c>
      <c r="Q9" s="60">
        <v>4.1666666666666664E-2</v>
      </c>
      <c r="R9" s="92" t="s">
        <v>83</v>
      </c>
      <c r="S9" s="74"/>
      <c r="T9" s="54"/>
      <c r="U9" s="84"/>
    </row>
    <row r="10" spans="1:21" x14ac:dyDescent="0.25">
      <c r="A10" s="73"/>
      <c r="B10" s="64"/>
      <c r="C10" s="84"/>
      <c r="D10" s="74"/>
      <c r="E10" s="54"/>
      <c r="F10" s="84"/>
      <c r="G10" s="74"/>
      <c r="H10" s="54"/>
      <c r="I10" s="84"/>
      <c r="J10" s="74"/>
      <c r="K10" s="87"/>
      <c r="L10" s="84"/>
      <c r="M10" s="74"/>
      <c r="N10" s="54"/>
      <c r="O10" s="84"/>
      <c r="P10" s="74"/>
      <c r="Q10" s="54"/>
      <c r="R10" s="84"/>
      <c r="S10" s="74"/>
      <c r="T10" s="54"/>
      <c r="U10" s="84"/>
    </row>
    <row r="11" spans="1:21" x14ac:dyDescent="0.25">
      <c r="A11" s="73"/>
      <c r="B11" s="64"/>
      <c r="C11" s="84"/>
      <c r="D11" s="74"/>
      <c r="E11" s="54"/>
      <c r="F11" s="84"/>
      <c r="G11" s="74"/>
      <c r="H11" s="54"/>
      <c r="I11" s="84"/>
      <c r="J11" s="74"/>
      <c r="K11" s="87"/>
      <c r="L11" s="84"/>
      <c r="M11" s="74"/>
      <c r="N11" s="54"/>
      <c r="O11" s="84"/>
      <c r="P11" s="74"/>
      <c r="Q11" s="54"/>
      <c r="R11" s="84"/>
      <c r="S11" s="74"/>
      <c r="T11" s="54"/>
      <c r="U11" s="84"/>
    </row>
    <row r="12" spans="1:21" x14ac:dyDescent="0.25">
      <c r="A12" s="73"/>
      <c r="B12" s="64"/>
      <c r="C12" s="84"/>
      <c r="D12" s="74"/>
      <c r="E12" s="54"/>
      <c r="F12" s="84"/>
      <c r="G12" s="74"/>
      <c r="H12" s="54"/>
      <c r="I12" s="84"/>
      <c r="J12" s="74"/>
      <c r="K12" s="87"/>
      <c r="L12" s="84"/>
      <c r="M12" s="74"/>
      <c r="N12" s="54"/>
      <c r="O12" s="84"/>
      <c r="P12" s="74"/>
      <c r="Q12" s="54"/>
      <c r="R12" s="84"/>
      <c r="S12" s="74"/>
      <c r="T12" s="54"/>
      <c r="U12" s="84"/>
    </row>
    <row r="13" spans="1:21" x14ac:dyDescent="0.25">
      <c r="A13" s="73"/>
      <c r="B13" s="64"/>
      <c r="C13" s="84"/>
      <c r="D13" s="74"/>
      <c r="E13" s="54"/>
      <c r="F13" s="84"/>
      <c r="G13" s="74"/>
      <c r="H13" s="54"/>
      <c r="I13" s="84"/>
      <c r="J13" s="74"/>
      <c r="K13" s="87"/>
      <c r="L13" s="84"/>
      <c r="M13" s="74"/>
      <c r="N13" s="54"/>
      <c r="O13" s="84"/>
      <c r="P13" s="74"/>
      <c r="Q13" s="54"/>
      <c r="R13" s="84"/>
      <c r="S13" s="74"/>
      <c r="T13" s="54"/>
      <c r="U13" s="84"/>
    </row>
    <row r="14" spans="1:21" x14ac:dyDescent="0.25">
      <c r="A14" s="74"/>
      <c r="B14" s="54"/>
      <c r="C14" s="84"/>
      <c r="D14" s="74"/>
      <c r="E14" s="54"/>
      <c r="F14" s="84"/>
      <c r="G14" s="74"/>
      <c r="H14" s="54"/>
      <c r="I14" s="84"/>
      <c r="J14" s="74"/>
      <c r="K14" s="87"/>
      <c r="L14" s="84"/>
      <c r="M14" s="74"/>
      <c r="N14" s="54"/>
      <c r="O14" s="84"/>
      <c r="P14" s="74"/>
      <c r="Q14" s="54"/>
      <c r="R14" s="84"/>
      <c r="S14" s="74"/>
      <c r="T14" s="54"/>
      <c r="U14" s="84"/>
    </row>
    <row r="15" spans="1:21" x14ac:dyDescent="0.25">
      <c r="A15" s="74"/>
      <c r="B15" s="54"/>
      <c r="C15" s="84"/>
      <c r="D15" s="74"/>
      <c r="E15" s="54"/>
      <c r="F15" s="84"/>
      <c r="G15" s="74"/>
      <c r="H15" s="54"/>
      <c r="I15" s="84"/>
      <c r="J15" s="74"/>
      <c r="K15" s="87"/>
      <c r="L15" s="84"/>
      <c r="M15" s="74"/>
      <c r="N15" s="54"/>
      <c r="O15" s="84"/>
      <c r="P15" s="74"/>
      <c r="Q15" s="54"/>
      <c r="R15" s="84"/>
      <c r="S15" s="74"/>
      <c r="T15" s="54"/>
      <c r="U15" s="84"/>
    </row>
    <row r="16" spans="1:21" x14ac:dyDescent="0.25">
      <c r="A16" s="74"/>
      <c r="B16" s="54"/>
      <c r="C16" s="84"/>
      <c r="D16" s="74"/>
      <c r="E16" s="54"/>
      <c r="F16" s="84"/>
      <c r="G16" s="74"/>
      <c r="H16" s="54"/>
      <c r="I16" s="84"/>
      <c r="J16" s="74"/>
      <c r="K16" s="87"/>
      <c r="L16" s="84"/>
      <c r="M16" s="74"/>
      <c r="N16" s="54"/>
      <c r="O16" s="84"/>
      <c r="P16" s="74"/>
      <c r="Q16" s="54"/>
      <c r="R16" s="84"/>
      <c r="S16" s="74"/>
      <c r="T16" s="54"/>
      <c r="U16" s="84"/>
    </row>
    <row r="17" spans="1:21" x14ac:dyDescent="0.25">
      <c r="A17" s="74"/>
      <c r="B17" s="54"/>
      <c r="C17" s="84"/>
      <c r="D17" s="74"/>
      <c r="E17" s="54"/>
      <c r="F17" s="84"/>
      <c r="G17" s="74"/>
      <c r="H17" s="54"/>
      <c r="I17" s="84"/>
      <c r="J17" s="74"/>
      <c r="K17" s="87"/>
      <c r="L17" s="84"/>
      <c r="M17" s="74"/>
      <c r="N17" s="54"/>
      <c r="O17" s="84"/>
      <c r="P17" s="74"/>
      <c r="Q17" s="54"/>
      <c r="R17" s="84"/>
      <c r="S17" s="74"/>
      <c r="T17" s="54"/>
      <c r="U17" s="84"/>
    </row>
    <row r="18" spans="1:21" x14ac:dyDescent="0.25">
      <c r="A18" s="74"/>
      <c r="B18" s="54"/>
      <c r="C18" s="84"/>
      <c r="D18" s="74"/>
      <c r="E18" s="54"/>
      <c r="F18" s="84"/>
      <c r="G18" s="74"/>
      <c r="H18" s="54"/>
      <c r="I18" s="84"/>
      <c r="J18" s="74"/>
      <c r="K18" s="87"/>
      <c r="L18" s="84"/>
      <c r="M18" s="74"/>
      <c r="N18" s="54"/>
      <c r="O18" s="84"/>
      <c r="P18" s="74"/>
      <c r="Q18" s="54"/>
      <c r="R18" s="84"/>
      <c r="S18" s="74"/>
      <c r="T18" s="54"/>
      <c r="U18" s="84"/>
    </row>
    <row r="19" spans="1:21" ht="15.75" thickBot="1" x14ac:dyDescent="0.3">
      <c r="A19" s="75"/>
      <c r="B19" s="76"/>
      <c r="C19" s="85"/>
      <c r="D19" s="75"/>
      <c r="E19" s="76"/>
      <c r="F19" s="85"/>
      <c r="G19" s="75"/>
      <c r="H19" s="76"/>
      <c r="I19" s="85"/>
      <c r="J19" s="75"/>
      <c r="K19" s="88"/>
      <c r="L19" s="85"/>
      <c r="M19" s="75"/>
      <c r="N19" s="76"/>
      <c r="O19" s="85"/>
      <c r="P19" s="75"/>
      <c r="Q19" s="76"/>
      <c r="R19" s="85"/>
      <c r="S19" s="75"/>
      <c r="T19" s="76"/>
      <c r="U19" s="85"/>
    </row>
    <row r="20" spans="1:21" x14ac:dyDescent="0.25">
      <c r="A20" s="77" t="s">
        <v>28</v>
      </c>
      <c r="B20" s="81"/>
      <c r="C20" s="79"/>
      <c r="D20" s="77" t="s">
        <v>29</v>
      </c>
      <c r="E20" s="81"/>
      <c r="F20" s="79"/>
      <c r="G20" s="77" t="s">
        <v>30</v>
      </c>
      <c r="H20" s="81"/>
      <c r="I20" s="79"/>
      <c r="J20" s="77" t="s">
        <v>31</v>
      </c>
      <c r="K20" s="81"/>
      <c r="L20" s="79"/>
      <c r="M20" s="77" t="s">
        <v>32</v>
      </c>
      <c r="N20" s="81"/>
      <c r="O20" s="79"/>
      <c r="P20" s="77" t="s">
        <v>33</v>
      </c>
      <c r="Q20" s="81"/>
      <c r="R20" s="79"/>
      <c r="S20" s="77" t="s">
        <v>34</v>
      </c>
      <c r="T20" s="81"/>
      <c r="U20" s="79"/>
    </row>
    <row r="21" spans="1:21" x14ac:dyDescent="0.25">
      <c r="A21" s="82" t="s">
        <v>77</v>
      </c>
      <c r="B21" s="63" t="s">
        <v>60</v>
      </c>
      <c r="C21" s="83" t="s">
        <v>78</v>
      </c>
      <c r="D21" s="82" t="s">
        <v>77</v>
      </c>
      <c r="E21" s="63" t="s">
        <v>60</v>
      </c>
      <c r="F21" s="83" t="s">
        <v>78</v>
      </c>
      <c r="G21" s="82" t="s">
        <v>77</v>
      </c>
      <c r="H21" s="63" t="s">
        <v>60</v>
      </c>
      <c r="I21" s="83" t="s">
        <v>78</v>
      </c>
      <c r="J21" s="82" t="s">
        <v>77</v>
      </c>
      <c r="K21" s="63" t="s">
        <v>60</v>
      </c>
      <c r="L21" s="83" t="s">
        <v>78</v>
      </c>
      <c r="M21" s="82" t="s">
        <v>77</v>
      </c>
      <c r="N21" s="63" t="s">
        <v>60</v>
      </c>
      <c r="O21" s="83" t="s">
        <v>78</v>
      </c>
      <c r="P21" s="82" t="s">
        <v>77</v>
      </c>
      <c r="Q21" s="63" t="s">
        <v>60</v>
      </c>
      <c r="R21" s="83" t="s">
        <v>78</v>
      </c>
      <c r="S21" s="82" t="s">
        <v>77</v>
      </c>
      <c r="T21" s="63" t="s">
        <v>60</v>
      </c>
      <c r="U21" s="83" t="s">
        <v>78</v>
      </c>
    </row>
    <row r="22" spans="1:21" x14ac:dyDescent="0.25">
      <c r="A22" s="74"/>
      <c r="B22" s="54"/>
      <c r="C22" s="84"/>
      <c r="D22" s="74"/>
      <c r="E22" s="54"/>
      <c r="F22" s="84"/>
      <c r="G22" s="74"/>
      <c r="H22" s="54"/>
      <c r="I22" s="84"/>
      <c r="J22" s="74"/>
      <c r="K22" s="54"/>
      <c r="L22" s="84"/>
      <c r="M22" s="74"/>
      <c r="N22" s="54"/>
      <c r="O22" s="84"/>
      <c r="P22" s="74"/>
      <c r="Q22" s="54"/>
      <c r="R22" s="84"/>
      <c r="S22" s="74"/>
      <c r="T22" s="54"/>
      <c r="U22" s="84"/>
    </row>
    <row r="23" spans="1:21" x14ac:dyDescent="0.25">
      <c r="A23" s="74"/>
      <c r="B23" s="54"/>
      <c r="C23" s="84"/>
      <c r="D23" s="74"/>
      <c r="E23" s="54"/>
      <c r="F23" s="84"/>
      <c r="G23" s="74"/>
      <c r="H23" s="54"/>
      <c r="I23" s="84"/>
      <c r="J23" s="74"/>
      <c r="K23" s="54"/>
      <c r="L23" s="84"/>
      <c r="M23" s="74"/>
      <c r="N23" s="54"/>
      <c r="O23" s="84"/>
      <c r="P23" s="74"/>
      <c r="Q23" s="54"/>
      <c r="R23" s="84"/>
      <c r="S23" s="74"/>
      <c r="T23" s="54"/>
      <c r="U23" s="84"/>
    </row>
    <row r="24" spans="1:21" x14ac:dyDescent="0.25">
      <c r="A24" s="74"/>
      <c r="B24" s="54"/>
      <c r="C24" s="84"/>
      <c r="D24" s="74"/>
      <c r="E24" s="54"/>
      <c r="F24" s="84"/>
      <c r="G24" s="74"/>
      <c r="H24" s="54"/>
      <c r="I24" s="84"/>
      <c r="J24" s="74"/>
      <c r="K24" s="54"/>
      <c r="L24" s="84"/>
      <c r="M24" s="74"/>
      <c r="N24" s="54"/>
      <c r="O24" s="84"/>
      <c r="P24" s="74"/>
      <c r="Q24" s="54"/>
      <c r="R24" s="84"/>
      <c r="S24" s="74"/>
      <c r="T24" s="54"/>
      <c r="U24" s="84"/>
    </row>
    <row r="25" spans="1:21" x14ac:dyDescent="0.25">
      <c r="A25" s="74"/>
      <c r="B25" s="54"/>
      <c r="C25" s="84"/>
      <c r="D25" s="74"/>
      <c r="E25" s="54"/>
      <c r="F25" s="84"/>
      <c r="G25" s="74"/>
      <c r="H25" s="54"/>
      <c r="I25" s="84"/>
      <c r="J25" s="74"/>
      <c r="K25" s="54"/>
      <c r="L25" s="84"/>
      <c r="M25" s="74"/>
      <c r="N25" s="54"/>
      <c r="O25" s="84"/>
      <c r="P25" s="74"/>
      <c r="Q25" s="54"/>
      <c r="R25" s="84"/>
      <c r="S25" s="74"/>
      <c r="T25" s="54"/>
      <c r="U25" s="84"/>
    </row>
    <row r="26" spans="1:21" x14ac:dyDescent="0.25">
      <c r="A26" s="74"/>
      <c r="B26" s="54"/>
      <c r="C26" s="84"/>
      <c r="D26" s="74"/>
      <c r="E26" s="54"/>
      <c r="F26" s="84"/>
      <c r="G26" s="74"/>
      <c r="H26" s="54"/>
      <c r="I26" s="84"/>
      <c r="J26" s="74"/>
      <c r="K26" s="54"/>
      <c r="L26" s="84"/>
      <c r="M26" s="74"/>
      <c r="N26" s="54"/>
      <c r="O26" s="84"/>
      <c r="P26" s="74"/>
      <c r="Q26" s="54"/>
      <c r="R26" s="84"/>
      <c r="S26" s="74"/>
      <c r="T26" s="54"/>
      <c r="U26" s="84"/>
    </row>
    <row r="27" spans="1:21" x14ac:dyDescent="0.25">
      <c r="A27" s="74"/>
      <c r="B27" s="54"/>
      <c r="C27" s="84"/>
      <c r="D27" s="74"/>
      <c r="E27" s="54"/>
      <c r="F27" s="84"/>
      <c r="G27" s="74"/>
      <c r="H27" s="54"/>
      <c r="I27" s="84"/>
      <c r="J27" s="74"/>
      <c r="K27" s="54"/>
      <c r="L27" s="84"/>
      <c r="M27" s="74"/>
      <c r="N27" s="54"/>
      <c r="O27" s="84"/>
      <c r="P27" s="74"/>
      <c r="Q27" s="54"/>
      <c r="R27" s="84"/>
      <c r="S27" s="74"/>
      <c r="T27" s="54"/>
      <c r="U27" s="84"/>
    </row>
    <row r="28" spans="1:21" x14ac:dyDescent="0.25">
      <c r="A28" s="74"/>
      <c r="B28" s="54"/>
      <c r="C28" s="84"/>
      <c r="D28" s="74"/>
      <c r="E28" s="54"/>
      <c r="F28" s="84"/>
      <c r="G28" s="74"/>
      <c r="H28" s="54"/>
      <c r="I28" s="84"/>
      <c r="J28" s="74"/>
      <c r="K28" s="54"/>
      <c r="L28" s="84"/>
      <c r="M28" s="74"/>
      <c r="N28" s="54"/>
      <c r="O28" s="84"/>
      <c r="P28" s="74"/>
      <c r="Q28" s="54"/>
      <c r="R28" s="84"/>
      <c r="S28" s="74"/>
      <c r="T28" s="54"/>
      <c r="U28" s="84"/>
    </row>
    <row r="29" spans="1:21" x14ac:dyDescent="0.25">
      <c r="A29" s="74"/>
      <c r="B29" s="54"/>
      <c r="C29" s="84"/>
      <c r="D29" s="74"/>
      <c r="E29" s="54"/>
      <c r="F29" s="84"/>
      <c r="G29" s="74"/>
      <c r="H29" s="54"/>
      <c r="I29" s="84"/>
      <c r="J29" s="74"/>
      <c r="K29" s="54"/>
      <c r="L29" s="84"/>
      <c r="M29" s="74"/>
      <c r="N29" s="54"/>
      <c r="O29" s="84"/>
      <c r="P29" s="74"/>
      <c r="Q29" s="54"/>
      <c r="R29" s="84"/>
      <c r="S29" s="74"/>
      <c r="T29" s="54"/>
      <c r="U29" s="84"/>
    </row>
    <row r="30" spans="1:21" x14ac:dyDescent="0.25">
      <c r="A30" s="74"/>
      <c r="B30" s="54"/>
      <c r="C30" s="84"/>
      <c r="D30" s="74"/>
      <c r="E30" s="54"/>
      <c r="F30" s="84"/>
      <c r="G30" s="74"/>
      <c r="H30" s="54"/>
      <c r="I30" s="84"/>
      <c r="J30" s="74"/>
      <c r="K30" s="54"/>
      <c r="L30" s="84"/>
      <c r="M30" s="74"/>
      <c r="N30" s="54"/>
      <c r="O30" s="84"/>
      <c r="P30" s="74"/>
      <c r="Q30" s="54"/>
      <c r="R30" s="84"/>
      <c r="S30" s="74"/>
      <c r="T30" s="54"/>
      <c r="U30" s="84"/>
    </row>
    <row r="31" spans="1:21" x14ac:dyDescent="0.25">
      <c r="A31" s="74"/>
      <c r="B31" s="54"/>
      <c r="C31" s="84"/>
      <c r="D31" s="74"/>
      <c r="E31" s="54"/>
      <c r="F31" s="84"/>
      <c r="G31" s="74"/>
      <c r="H31" s="54"/>
      <c r="I31" s="84"/>
      <c r="J31" s="74"/>
      <c r="K31" s="54"/>
      <c r="L31" s="84"/>
      <c r="M31" s="74"/>
      <c r="N31" s="54"/>
      <c r="O31" s="84"/>
      <c r="P31" s="74"/>
      <c r="Q31" s="54"/>
      <c r="R31" s="84"/>
      <c r="S31" s="74"/>
      <c r="T31" s="54"/>
      <c r="U31" s="84"/>
    </row>
    <row r="32" spans="1:21" x14ac:dyDescent="0.25">
      <c r="A32" s="74"/>
      <c r="B32" s="54"/>
      <c r="C32" s="84"/>
      <c r="D32" s="74"/>
      <c r="E32" s="54"/>
      <c r="F32" s="84"/>
      <c r="G32" s="74"/>
      <c r="H32" s="54"/>
      <c r="I32" s="84"/>
      <c r="J32" s="74"/>
      <c r="K32" s="54"/>
      <c r="L32" s="84"/>
      <c r="M32" s="74"/>
      <c r="N32" s="54"/>
      <c r="O32" s="84"/>
      <c r="P32" s="74"/>
      <c r="Q32" s="54"/>
      <c r="R32" s="84"/>
      <c r="S32" s="74"/>
      <c r="T32" s="54"/>
      <c r="U32" s="84"/>
    </row>
    <row r="33" spans="1:21" x14ac:dyDescent="0.25">
      <c r="A33" s="74"/>
      <c r="B33" s="54"/>
      <c r="C33" s="84"/>
      <c r="D33" s="74"/>
      <c r="E33" s="54"/>
      <c r="F33" s="84"/>
      <c r="G33" s="74"/>
      <c r="H33" s="54"/>
      <c r="I33" s="84"/>
      <c r="J33" s="74"/>
      <c r="K33" s="54"/>
      <c r="L33" s="84"/>
      <c r="M33" s="74"/>
      <c r="N33" s="54"/>
      <c r="O33" s="84"/>
      <c r="P33" s="74"/>
      <c r="Q33" s="54"/>
      <c r="R33" s="84"/>
      <c r="S33" s="74"/>
      <c r="T33" s="54"/>
      <c r="U33" s="84"/>
    </row>
    <row r="34" spans="1:21" x14ac:dyDescent="0.25">
      <c r="A34" s="74"/>
      <c r="B34" s="54"/>
      <c r="C34" s="84"/>
      <c r="D34" s="74"/>
      <c r="E34" s="54"/>
      <c r="F34" s="84"/>
      <c r="G34" s="74"/>
      <c r="H34" s="54"/>
      <c r="I34" s="84"/>
      <c r="J34" s="74"/>
      <c r="K34" s="54"/>
      <c r="L34" s="84"/>
      <c r="M34" s="74"/>
      <c r="N34" s="54"/>
      <c r="O34" s="84"/>
      <c r="P34" s="74"/>
      <c r="Q34" s="54"/>
      <c r="R34" s="84"/>
      <c r="S34" s="74"/>
      <c r="T34" s="54"/>
      <c r="U34" s="84"/>
    </row>
    <row r="35" spans="1:21" x14ac:dyDescent="0.25">
      <c r="A35" s="74"/>
      <c r="B35" s="54"/>
      <c r="C35" s="84"/>
      <c r="D35" s="74"/>
      <c r="E35" s="54"/>
      <c r="F35" s="84"/>
      <c r="G35" s="74"/>
      <c r="H35" s="54"/>
      <c r="I35" s="84"/>
      <c r="J35" s="74"/>
      <c r="K35" s="54"/>
      <c r="L35" s="84"/>
      <c r="M35" s="74"/>
      <c r="N35" s="54"/>
      <c r="O35" s="84"/>
      <c r="P35" s="74"/>
      <c r="Q35" s="54"/>
      <c r="R35" s="84"/>
      <c r="S35" s="74"/>
      <c r="T35" s="54"/>
      <c r="U35" s="84"/>
    </row>
    <row r="36" spans="1:21" x14ac:dyDescent="0.25">
      <c r="A36" s="74"/>
      <c r="B36" s="54"/>
      <c r="C36" s="84"/>
      <c r="D36" s="74"/>
      <c r="E36" s="54"/>
      <c r="F36" s="84"/>
      <c r="G36" s="74"/>
      <c r="H36" s="54"/>
      <c r="I36" s="84"/>
      <c r="J36" s="74"/>
      <c r="K36" s="54"/>
      <c r="L36" s="84"/>
      <c r="M36" s="74"/>
      <c r="N36" s="54"/>
      <c r="O36" s="84"/>
      <c r="P36" s="74"/>
      <c r="Q36" s="54"/>
      <c r="R36" s="84"/>
      <c r="S36" s="74"/>
      <c r="T36" s="54"/>
      <c r="U36" s="84"/>
    </row>
    <row r="37" spans="1:21" ht="15.75" thickBot="1" x14ac:dyDescent="0.3">
      <c r="A37" s="75"/>
      <c r="B37" s="76"/>
      <c r="C37" s="85"/>
      <c r="D37" s="75"/>
      <c r="E37" s="76"/>
      <c r="F37" s="85"/>
      <c r="G37" s="75"/>
      <c r="H37" s="76"/>
      <c r="I37" s="85"/>
      <c r="J37" s="75"/>
      <c r="K37" s="76"/>
      <c r="L37" s="85"/>
      <c r="M37" s="75"/>
      <c r="N37" s="76"/>
      <c r="O37" s="85"/>
      <c r="P37" s="75"/>
      <c r="Q37" s="76"/>
      <c r="R37" s="85"/>
      <c r="S37" s="75"/>
      <c r="T37" s="76"/>
      <c r="U37" s="85"/>
    </row>
    <row r="38" spans="1:21" x14ac:dyDescent="0.25">
      <c r="O38" s="65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V34"/>
  <sheetViews>
    <sheetView zoomScaleNormal="100" workbookViewId="0">
      <selection activeCell="H24" sqref="H24:H25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44" customWidth="1"/>
  </cols>
  <sheetData>
    <row r="1" spans="1:22" ht="26.25" x14ac:dyDescent="0.4">
      <c r="A1" s="175" t="s">
        <v>49</v>
      </c>
      <c r="B1" s="175"/>
      <c r="C1" s="175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45" t="s">
        <v>46</v>
      </c>
      <c r="G3" s="47" t="s">
        <v>55</v>
      </c>
      <c r="H3" s="46" t="s">
        <v>47</v>
      </c>
      <c r="I3" s="24" t="s">
        <v>43</v>
      </c>
      <c r="K3" s="61" t="s">
        <v>5</v>
      </c>
      <c r="L3" s="61"/>
      <c r="M3" s="61" t="s">
        <v>4</v>
      </c>
      <c r="N3" s="61"/>
      <c r="O3" s="61" t="s">
        <v>3</v>
      </c>
      <c r="P3" s="61"/>
      <c r="Q3" s="61" t="s">
        <v>2</v>
      </c>
      <c r="R3" s="61"/>
      <c r="S3" s="61" t="s">
        <v>1</v>
      </c>
      <c r="T3" s="61"/>
      <c r="U3" s="58" t="s">
        <v>37</v>
      </c>
      <c r="V3" s="58"/>
    </row>
    <row r="4" spans="1:22" x14ac:dyDescent="0.25">
      <c r="B4" s="181" t="s">
        <v>37</v>
      </c>
      <c r="C4" s="171">
        <f>SUMIF(U:U,"*[Implementierung]*",V:V)</f>
        <v>0</v>
      </c>
      <c r="D4" s="171">
        <f>SUMIF(U:U,"*[Testen]*",V:V)</f>
        <v>0</v>
      </c>
      <c r="E4" s="171">
        <f>SUMIF(U:U,"*[Entwurf]*",V:V)</f>
        <v>0</v>
      </c>
      <c r="F4" s="171">
        <f>SUMIF(U:U,"*[Recherche]*",V:V)</f>
        <v>8.3333333333333329E-2</v>
      </c>
      <c r="G4" s="171">
        <f>SUMIF(U:U,"*[Organisation]*",V:V)</f>
        <v>0.29166666666666663</v>
      </c>
      <c r="H4" s="171">
        <f>SUMIF(Meetings!C4:C19,"*Pellekoorne*",Meetings!B4:B19)</f>
        <v>0.29166666666666669</v>
      </c>
      <c r="I4" s="179">
        <f>SUM(C4:H5)</f>
        <v>0.66666666666666663</v>
      </c>
      <c r="K4" s="59" t="s">
        <v>59</v>
      </c>
      <c r="L4" s="57" t="s">
        <v>60</v>
      </c>
      <c r="M4" s="59" t="s">
        <v>59</v>
      </c>
      <c r="N4" s="57" t="s">
        <v>60</v>
      </c>
      <c r="O4" s="59" t="s">
        <v>59</v>
      </c>
      <c r="P4" s="57" t="s">
        <v>60</v>
      </c>
      <c r="Q4" s="59" t="s">
        <v>59</v>
      </c>
      <c r="R4" s="57" t="s">
        <v>60</v>
      </c>
      <c r="S4" s="59" t="s">
        <v>59</v>
      </c>
      <c r="T4" s="57" t="s">
        <v>60</v>
      </c>
      <c r="U4" s="59" t="s">
        <v>59</v>
      </c>
      <c r="V4" s="57" t="s">
        <v>60</v>
      </c>
    </row>
    <row r="5" spans="1:22" x14ac:dyDescent="0.25">
      <c r="B5" s="182"/>
      <c r="C5" s="171"/>
      <c r="D5" s="171"/>
      <c r="E5" s="171"/>
      <c r="F5" s="171"/>
      <c r="G5" s="171"/>
      <c r="H5" s="171"/>
      <c r="I5" s="179"/>
      <c r="K5" t="s">
        <v>259</v>
      </c>
      <c r="L5" s="89">
        <v>2.0833333333333332E-2</v>
      </c>
      <c r="M5" t="s">
        <v>92</v>
      </c>
      <c r="N5" s="89">
        <v>4.1666666666666664E-2</v>
      </c>
      <c r="O5" t="s">
        <v>198</v>
      </c>
      <c r="P5" s="89">
        <v>0.13194444444444445</v>
      </c>
      <c r="Q5" t="s">
        <v>139</v>
      </c>
      <c r="R5" s="89">
        <v>0.13194444444444445</v>
      </c>
      <c r="S5" t="s">
        <v>87</v>
      </c>
      <c r="T5" s="89">
        <v>1.7361111111111112E-2</v>
      </c>
      <c r="U5" s="2" t="s">
        <v>61</v>
      </c>
      <c r="V5" s="93">
        <v>8.3333333333333329E-2</v>
      </c>
    </row>
    <row r="6" spans="1:22" x14ac:dyDescent="0.25">
      <c r="B6" s="183" t="s">
        <v>1</v>
      </c>
      <c r="C6" s="178">
        <f>SUMIF(S:S,"*[Implementierung]*",T:T)</f>
        <v>0</v>
      </c>
      <c r="D6" s="178">
        <f>SUMIF(S:S,"*[Testen]*",T:T)</f>
        <v>0</v>
      </c>
      <c r="E6" s="178">
        <f>SUMIF(S:S,"*[Entwurf]*",T:T)</f>
        <v>6.25E-2</v>
      </c>
      <c r="F6" s="178">
        <f>SUMIF(S:S,"*[Recherche]*",T:T)</f>
        <v>0</v>
      </c>
      <c r="G6" s="178">
        <f>SUMIF(S:S,"*[Organisation]*",T:T)</f>
        <v>0.69097222222222221</v>
      </c>
      <c r="H6" s="178">
        <f>SUMIF(Meetings!F4:F19,"*Pellekoorne*",Meetings!E4:E19)</f>
        <v>0.1111111111111111</v>
      </c>
      <c r="I6" s="179">
        <f>SUM(C6:H7)</f>
        <v>0.86458333333333326</v>
      </c>
      <c r="K6" t="s">
        <v>281</v>
      </c>
      <c r="L6" s="89">
        <v>4.1666666666666664E-2</v>
      </c>
      <c r="M6" t="s">
        <v>245</v>
      </c>
      <c r="N6" s="89">
        <v>7.6388888888888895E-2</v>
      </c>
      <c r="O6" t="s">
        <v>199</v>
      </c>
      <c r="P6" s="89">
        <v>9.0277777777777776E-2</v>
      </c>
      <c r="Q6" t="s">
        <v>140</v>
      </c>
      <c r="R6" s="89">
        <v>9.0277777777777776E-2</v>
      </c>
      <c r="S6" t="s">
        <v>88</v>
      </c>
      <c r="T6" s="89">
        <v>6.25E-2</v>
      </c>
      <c r="U6" s="2" t="s">
        <v>62</v>
      </c>
      <c r="V6" s="93">
        <v>0.16666666666666666</v>
      </c>
    </row>
    <row r="7" spans="1:22" x14ac:dyDescent="0.25">
      <c r="B7" s="183"/>
      <c r="C7" s="178"/>
      <c r="D7" s="178"/>
      <c r="E7" s="178"/>
      <c r="F7" s="178"/>
      <c r="G7" s="178"/>
      <c r="H7" s="178"/>
      <c r="I7" s="179"/>
      <c r="K7" t="s">
        <v>282</v>
      </c>
      <c r="L7" s="89">
        <v>4.8611111111111112E-2</v>
      </c>
      <c r="M7" t="s">
        <v>139</v>
      </c>
      <c r="N7" s="89">
        <v>9.0277777777777776E-2</v>
      </c>
      <c r="O7" t="s">
        <v>200</v>
      </c>
      <c r="P7" s="89">
        <v>0.17361111111111113</v>
      </c>
      <c r="Q7" s="89" t="s">
        <v>141</v>
      </c>
      <c r="R7" s="89">
        <v>0.10416666666666667</v>
      </c>
      <c r="S7" t="s">
        <v>89</v>
      </c>
      <c r="T7" s="89">
        <v>6.5972222222222224E-2</v>
      </c>
      <c r="U7" s="2" t="s">
        <v>63</v>
      </c>
      <c r="V7" s="93">
        <v>0.125</v>
      </c>
    </row>
    <row r="8" spans="1:22" x14ac:dyDescent="0.25">
      <c r="B8" s="183" t="s">
        <v>2</v>
      </c>
      <c r="C8" s="178">
        <f>SUMIF(Q:Q,"*[Implementierung]*",R:R)</f>
        <v>1.0416666666666666E-2</v>
      </c>
      <c r="D8" s="178">
        <f>SUMIF(Q:Q,"*[Testen]*",R:R)</f>
        <v>0</v>
      </c>
      <c r="E8" s="178">
        <f>SUMIF(Q:Q,"*[Entwurf]*",R:R)</f>
        <v>0</v>
      </c>
      <c r="F8" s="178">
        <f>SUMIF(Q:Q,"*[Recherche]*",R:R)</f>
        <v>0</v>
      </c>
      <c r="G8" s="178">
        <f>SUMIF(Q:Q,"*[Organisation]*",R:R)</f>
        <v>0.54166666666666674</v>
      </c>
      <c r="H8" s="178">
        <f>SUMIF(Meetings!I4:I19,"*Pellekoorne*",Meetings!H4:H19)</f>
        <v>0.14027777777777778</v>
      </c>
      <c r="I8" s="179">
        <f>SUM(C8:H9)</f>
        <v>0.6923611111111112</v>
      </c>
      <c r="K8" t="s">
        <v>289</v>
      </c>
      <c r="L8" s="89">
        <v>0.22222222222222221</v>
      </c>
      <c r="M8" s="111" t="s">
        <v>262</v>
      </c>
      <c r="N8" s="89">
        <v>0.1111111111111111</v>
      </c>
      <c r="O8" t="s">
        <v>201</v>
      </c>
      <c r="P8" s="89">
        <v>2.0833333333333332E-2</v>
      </c>
      <c r="Q8" t="s">
        <v>142</v>
      </c>
      <c r="R8" s="89">
        <v>0.13194444444444445</v>
      </c>
      <c r="S8" t="s">
        <v>90</v>
      </c>
      <c r="T8" s="89">
        <v>1.7361111111111112E-2</v>
      </c>
    </row>
    <row r="9" spans="1:22" x14ac:dyDescent="0.25">
      <c r="B9" s="183"/>
      <c r="C9" s="178"/>
      <c r="D9" s="178"/>
      <c r="E9" s="178"/>
      <c r="F9" s="178"/>
      <c r="G9" s="178"/>
      <c r="H9" s="178"/>
      <c r="I9" s="179"/>
      <c r="K9" s="2" t="s">
        <v>233</v>
      </c>
      <c r="L9" s="89">
        <v>2.4305555555555556E-2</v>
      </c>
      <c r="M9" s="111" t="s">
        <v>263</v>
      </c>
      <c r="N9" s="89">
        <v>0.13194444444444445</v>
      </c>
      <c r="O9" t="s">
        <v>202</v>
      </c>
      <c r="P9" s="89">
        <v>6.25E-2</v>
      </c>
      <c r="Q9" t="s">
        <v>143</v>
      </c>
      <c r="R9" s="89">
        <v>8.3333333333333329E-2</v>
      </c>
      <c r="S9" t="s">
        <v>91</v>
      </c>
      <c r="T9" s="89">
        <v>2.7777777777777776E-2</v>
      </c>
    </row>
    <row r="10" spans="1:22" x14ac:dyDescent="0.25">
      <c r="B10" s="183" t="s">
        <v>3</v>
      </c>
      <c r="C10" s="178">
        <f>SUMIF(O:O,"*[Implementierung]*",P:P)</f>
        <v>0</v>
      </c>
      <c r="D10" s="178">
        <f>SUMIF(O:O,"*[Testen]*",P:P)</f>
        <v>0</v>
      </c>
      <c r="E10" s="178">
        <f>SUMIF(O:O,"*[Entwurf]*",P:P)</f>
        <v>0.23611111111111113</v>
      </c>
      <c r="F10" s="178">
        <f>SUMIF(O:O,"*[Recherche]*",P:P)</f>
        <v>2.0833333333333332E-2</v>
      </c>
      <c r="G10" s="178">
        <f>SUMIF(O:O,"*[Organisation]*",P:P)</f>
        <v>0.35416666666666669</v>
      </c>
      <c r="H10" s="178">
        <f>SUMIF(Meetings!L4:L19,"*Pellekoorne*",Meetings!K4:K19)</f>
        <v>6.5972222222222224E-2</v>
      </c>
      <c r="I10" s="179">
        <f>SUM(C10:H11)</f>
        <v>0.67708333333333337</v>
      </c>
      <c r="M10" s="111" t="s">
        <v>264</v>
      </c>
      <c r="N10" s="89">
        <v>8.3333333333333329E-2</v>
      </c>
      <c r="O10" t="s">
        <v>203</v>
      </c>
      <c r="P10" s="89">
        <v>2.7777777777777776E-2</v>
      </c>
      <c r="Q10" t="s">
        <v>144</v>
      </c>
      <c r="R10" s="89">
        <v>1.0416666666666666E-2</v>
      </c>
      <c r="S10" t="s">
        <v>92</v>
      </c>
      <c r="T10" s="89">
        <v>0.11458333333333333</v>
      </c>
    </row>
    <row r="11" spans="1:22" x14ac:dyDescent="0.25">
      <c r="B11" s="183"/>
      <c r="C11" s="178"/>
      <c r="D11" s="178"/>
      <c r="E11" s="178"/>
      <c r="F11" s="178"/>
      <c r="G11" s="178"/>
      <c r="H11" s="178"/>
      <c r="I11" s="179"/>
      <c r="M11" s="111" t="s">
        <v>266</v>
      </c>
      <c r="N11" s="89">
        <v>2.7777777777777776E-2</v>
      </c>
      <c r="O11" t="s">
        <v>92</v>
      </c>
      <c r="P11" s="89">
        <v>0.10416666666666667</v>
      </c>
      <c r="S11" t="s">
        <v>93</v>
      </c>
      <c r="T11" s="89">
        <v>0.12152777777777778</v>
      </c>
    </row>
    <row r="12" spans="1:22" x14ac:dyDescent="0.25">
      <c r="B12" s="183" t="s">
        <v>4</v>
      </c>
      <c r="C12" s="178">
        <f>SUMIF(M:M,"*[Implementierung]*",N:N)</f>
        <v>0.44444444444444448</v>
      </c>
      <c r="D12" s="178">
        <f>SUMIF(M:M,"*[Testen]*",N:N)</f>
        <v>0</v>
      </c>
      <c r="E12" s="178">
        <f>SUMIF(M:M,"*[Entwurf]*",N:N)</f>
        <v>2.7777777777777776E-2</v>
      </c>
      <c r="F12" s="178">
        <f>SUMIF(M:M,"*[Recherche]*",N:N)</f>
        <v>0</v>
      </c>
      <c r="G12" s="178">
        <f>SUMIF(M:M,"*[Organisation]*",N:N)</f>
        <v>0.20833333333333331</v>
      </c>
      <c r="H12" s="178">
        <f>SUMIF(Meetings!O4:O19,"*Pellekoorne*",Meetings!N4:N19)</f>
        <v>8.1249999999999989E-2</v>
      </c>
      <c r="I12" s="179">
        <f>SUM(C12:H13)</f>
        <v>0.76180555555555562</v>
      </c>
      <c r="M12" s="111" t="s">
        <v>265</v>
      </c>
      <c r="N12" s="89">
        <v>0.11805555555555557</v>
      </c>
      <c r="S12" t="s">
        <v>94</v>
      </c>
      <c r="T12" s="89">
        <v>0.11805555555555557</v>
      </c>
    </row>
    <row r="13" spans="1:22" x14ac:dyDescent="0.25">
      <c r="B13" s="183"/>
      <c r="C13" s="178"/>
      <c r="D13" s="178"/>
      <c r="E13" s="178"/>
      <c r="F13" s="178"/>
      <c r="G13" s="178"/>
      <c r="H13" s="178"/>
      <c r="I13" s="179"/>
      <c r="S13" t="s">
        <v>95</v>
      </c>
      <c r="T13" s="89">
        <v>0.14583333333333334</v>
      </c>
    </row>
    <row r="14" spans="1:22" x14ac:dyDescent="0.25">
      <c r="B14" s="183" t="s">
        <v>5</v>
      </c>
      <c r="C14" s="178">
        <f>SUMIF(K:K,"*[Implementierung]*",L:L)</f>
        <v>2.0833333333333332E-2</v>
      </c>
      <c r="D14" s="178">
        <f>SUMIF(K:K,"*[Testen]*",L:L)</f>
        <v>2.4305555555555556E-2</v>
      </c>
      <c r="E14" s="178">
        <f>SUMIF(K:K,"*[Entwurf]*",L:L)</f>
        <v>0</v>
      </c>
      <c r="F14" s="178">
        <f>SUMIF(K:K,"*[Recherche]*",L:L)</f>
        <v>0</v>
      </c>
      <c r="G14" s="178">
        <f>SUMIF(K:K,"*[Organisation]*",L:L)</f>
        <v>0.3125</v>
      </c>
      <c r="H14" s="178">
        <f>SUMIF(Meetings!R4:R19,"*Pellekoorne*",Meetings!Q4:Q19)</f>
        <v>0.18402777777777776</v>
      </c>
      <c r="I14" s="179">
        <f>SUM(C14:H15)</f>
        <v>0.54166666666666663</v>
      </c>
      <c r="S14" t="s">
        <v>96</v>
      </c>
      <c r="T14" s="89">
        <v>6.25E-2</v>
      </c>
    </row>
    <row r="15" spans="1:22" x14ac:dyDescent="0.25">
      <c r="B15" s="183"/>
      <c r="C15" s="178"/>
      <c r="D15" s="178"/>
      <c r="E15" s="178"/>
      <c r="F15" s="178"/>
      <c r="G15" s="178"/>
      <c r="H15" s="178"/>
      <c r="I15" s="179"/>
    </row>
    <row r="16" spans="1:22" x14ac:dyDescent="0.25">
      <c r="B16" s="183" t="s">
        <v>6</v>
      </c>
      <c r="C16" s="178"/>
      <c r="D16" s="178"/>
      <c r="E16" s="178"/>
      <c r="F16" s="178"/>
      <c r="G16" s="178"/>
      <c r="H16" s="178">
        <f>SUMIF(Meetings!U4:U19,"*Pellekoorne*",Meetings!T4:T19)</f>
        <v>0</v>
      </c>
      <c r="I16" s="179">
        <f>SUM(C16:H17)</f>
        <v>0</v>
      </c>
    </row>
    <row r="17" spans="2:9" x14ac:dyDescent="0.25">
      <c r="B17" s="183"/>
      <c r="C17" s="178"/>
      <c r="D17" s="178"/>
      <c r="E17" s="178"/>
      <c r="F17" s="178"/>
      <c r="G17" s="178"/>
      <c r="H17" s="178"/>
      <c r="I17" s="179"/>
    </row>
    <row r="18" spans="2:9" x14ac:dyDescent="0.25">
      <c r="B18" s="183" t="s">
        <v>28</v>
      </c>
      <c r="C18" s="178"/>
      <c r="D18" s="178"/>
      <c r="E18" s="178"/>
      <c r="F18" s="178"/>
      <c r="G18" s="178"/>
      <c r="H18" s="178">
        <f>SUMIF(Meetings!C22:C37,"*Pellekoorne*",Meetings!B22:B37)</f>
        <v>0</v>
      </c>
      <c r="I18" s="179">
        <f>SUM(C18:H19)</f>
        <v>0</v>
      </c>
    </row>
    <row r="19" spans="2:9" x14ac:dyDescent="0.25">
      <c r="B19" s="183"/>
      <c r="C19" s="178"/>
      <c r="D19" s="178"/>
      <c r="E19" s="178"/>
      <c r="F19" s="178"/>
      <c r="G19" s="178"/>
      <c r="H19" s="178"/>
      <c r="I19" s="179"/>
    </row>
    <row r="20" spans="2:9" x14ac:dyDescent="0.25">
      <c r="B20" s="183" t="s">
        <v>29</v>
      </c>
      <c r="C20" s="178"/>
      <c r="D20" s="178"/>
      <c r="E20" s="178"/>
      <c r="F20" s="178"/>
      <c r="G20" s="178"/>
      <c r="H20" s="178">
        <f>SUMIF(Meetings!F22:F37,"*Pellekoorne*",Meetings!E22:E37)</f>
        <v>0</v>
      </c>
      <c r="I20" s="179">
        <f>SUM(C20:H21)</f>
        <v>0</v>
      </c>
    </row>
    <row r="21" spans="2:9" x14ac:dyDescent="0.25">
      <c r="B21" s="183"/>
      <c r="C21" s="178"/>
      <c r="D21" s="178"/>
      <c r="E21" s="178"/>
      <c r="F21" s="178"/>
      <c r="G21" s="178"/>
      <c r="H21" s="178"/>
      <c r="I21" s="179"/>
    </row>
    <row r="22" spans="2:9" x14ac:dyDescent="0.25">
      <c r="B22" s="183" t="s">
        <v>30</v>
      </c>
      <c r="C22" s="178"/>
      <c r="D22" s="178"/>
      <c r="E22" s="178"/>
      <c r="F22" s="178"/>
      <c r="G22" s="178"/>
      <c r="H22" s="178">
        <f>SUMIF(Meetings!I22:I37,"*Pellekoorne*",Meetings!H22:H37)</f>
        <v>0</v>
      </c>
      <c r="I22" s="179">
        <f>SUM(C22:H23)</f>
        <v>0</v>
      </c>
    </row>
    <row r="23" spans="2:9" x14ac:dyDescent="0.25">
      <c r="B23" s="183"/>
      <c r="C23" s="178"/>
      <c r="D23" s="178"/>
      <c r="E23" s="178"/>
      <c r="F23" s="178"/>
      <c r="G23" s="178"/>
      <c r="H23" s="178"/>
      <c r="I23" s="179"/>
    </row>
    <row r="24" spans="2:9" x14ac:dyDescent="0.25">
      <c r="B24" s="183" t="s">
        <v>31</v>
      </c>
      <c r="C24" s="178"/>
      <c r="D24" s="178"/>
      <c r="E24" s="178"/>
      <c r="F24" s="178"/>
      <c r="G24" s="178"/>
      <c r="H24" s="178">
        <f>SUMIF(Meetings!L22:L37,"*Pellekoorne*",Meetings!K22:K37)</f>
        <v>0</v>
      </c>
      <c r="I24" s="179">
        <f>SUM(C24:H25)</f>
        <v>0</v>
      </c>
    </row>
    <row r="25" spans="2:9" x14ac:dyDescent="0.25">
      <c r="B25" s="183"/>
      <c r="C25" s="178"/>
      <c r="D25" s="178"/>
      <c r="E25" s="178"/>
      <c r="F25" s="178"/>
      <c r="G25" s="178"/>
      <c r="H25" s="178"/>
      <c r="I25" s="179"/>
    </row>
    <row r="26" spans="2:9" x14ac:dyDescent="0.25">
      <c r="B26" s="183" t="s">
        <v>32</v>
      </c>
      <c r="C26" s="178"/>
      <c r="D26" s="178"/>
      <c r="E26" s="178"/>
      <c r="F26" s="178"/>
      <c r="G26" s="178"/>
      <c r="H26" s="178">
        <f>SUMIF(Meetings!O22:O37,"*Pellekoorne*",Meetings!N22:N37)</f>
        <v>0</v>
      </c>
      <c r="I26" s="179">
        <f>SUM(C26:H27)</f>
        <v>0</v>
      </c>
    </row>
    <row r="27" spans="2:9" x14ac:dyDescent="0.25">
      <c r="B27" s="183"/>
      <c r="C27" s="178"/>
      <c r="D27" s="178"/>
      <c r="E27" s="178"/>
      <c r="F27" s="178"/>
      <c r="G27" s="178"/>
      <c r="H27" s="178"/>
      <c r="I27" s="179"/>
    </row>
    <row r="28" spans="2:9" x14ac:dyDescent="0.25">
      <c r="B28" s="183" t="s">
        <v>33</v>
      </c>
      <c r="C28" s="178"/>
      <c r="D28" s="178"/>
      <c r="E28" s="178"/>
      <c r="F28" s="178"/>
      <c r="G28" s="178"/>
      <c r="H28" s="178">
        <f>SUMIF(Meetings!R22:R37,"*Pellekoorne*",Meetings!Q22:Q37)</f>
        <v>0</v>
      </c>
      <c r="I28" s="179">
        <f>SUM(C28:H29)</f>
        <v>0</v>
      </c>
    </row>
    <row r="29" spans="2:9" x14ac:dyDescent="0.25">
      <c r="B29" s="183"/>
      <c r="C29" s="178"/>
      <c r="D29" s="178"/>
      <c r="E29" s="178"/>
      <c r="F29" s="178"/>
      <c r="G29" s="178"/>
      <c r="H29" s="178"/>
      <c r="I29" s="179"/>
    </row>
    <row r="30" spans="2:9" x14ac:dyDescent="0.25">
      <c r="B30" s="183" t="s">
        <v>34</v>
      </c>
      <c r="C30" s="178"/>
      <c r="D30" s="178"/>
      <c r="E30" s="178"/>
      <c r="F30" s="178"/>
      <c r="G30" s="178"/>
      <c r="H30" s="178">
        <f>SUMIF(Meetings!U22:U37,"*Pellekoorne*",Meetings!T22:T37)</f>
        <v>0</v>
      </c>
      <c r="I30" s="179">
        <f>SUM(C30:H31)</f>
        <v>0</v>
      </c>
    </row>
    <row r="31" spans="2:9" ht="15.75" thickBot="1" x14ac:dyDescent="0.3">
      <c r="B31" s="183"/>
      <c r="C31" s="178"/>
      <c r="D31" s="178"/>
      <c r="E31" s="178"/>
      <c r="F31" s="178"/>
      <c r="G31" s="178"/>
      <c r="H31" s="178"/>
      <c r="I31" s="180"/>
    </row>
    <row r="32" spans="2:9" x14ac:dyDescent="0.25">
      <c r="B32" s="177" t="s">
        <v>43</v>
      </c>
      <c r="C32" s="179">
        <f>SUM(C4:C31)</f>
        <v>0.47569444444444448</v>
      </c>
      <c r="D32" s="179">
        <f t="shared" ref="D32:G32" si="0">SUM(D4:D31)</f>
        <v>2.4305555555555556E-2</v>
      </c>
      <c r="E32" s="179">
        <f t="shared" si="0"/>
        <v>0.32638888888888895</v>
      </c>
      <c r="F32" s="179">
        <f t="shared" si="0"/>
        <v>0.10416666666666666</v>
      </c>
      <c r="G32" s="179">
        <f t="shared" si="0"/>
        <v>2.3993055555555558</v>
      </c>
      <c r="H32" s="184">
        <f t="shared" ref="H32" si="1">SUM(H4:H31)</f>
        <v>0.87430555555555556</v>
      </c>
      <c r="I32" s="186">
        <f>SUM(C32:H33)</f>
        <v>4.2041666666666675</v>
      </c>
    </row>
    <row r="33" spans="2:9" ht="15.75" thickBot="1" x14ac:dyDescent="0.3">
      <c r="B33" s="177"/>
      <c r="C33" s="177"/>
      <c r="D33" s="177"/>
      <c r="E33" s="177"/>
      <c r="F33" s="177"/>
      <c r="G33" s="177"/>
      <c r="H33" s="185"/>
      <c r="I33" s="187"/>
    </row>
    <row r="34" spans="2:9" x14ac:dyDescent="0.25">
      <c r="D34" s="49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V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22" ht="26.25" x14ac:dyDescent="0.4">
      <c r="A1" s="175" t="s">
        <v>50</v>
      </c>
      <c r="B1" s="175"/>
      <c r="C1" s="175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5</v>
      </c>
      <c r="L3" s="62"/>
      <c r="M3" s="62" t="s">
        <v>4</v>
      </c>
      <c r="N3" s="62"/>
      <c r="O3" s="62" t="s">
        <v>3</v>
      </c>
      <c r="P3" s="62"/>
      <c r="Q3" s="62" t="s">
        <v>2</v>
      </c>
      <c r="R3" s="62"/>
      <c r="S3" s="62" t="s">
        <v>1</v>
      </c>
      <c r="T3" s="62"/>
      <c r="U3" s="50" t="s">
        <v>37</v>
      </c>
      <c r="V3" s="50"/>
    </row>
    <row r="4" spans="1:22" x14ac:dyDescent="0.25">
      <c r="B4" s="181" t="s">
        <v>37</v>
      </c>
      <c r="C4" s="171">
        <f>SUMIF(U:U,"*[Implementierung]*",V:V)</f>
        <v>0</v>
      </c>
      <c r="D4" s="171">
        <f>SUMIF(U:U,"*[Testen]*",V:V)</f>
        <v>0</v>
      </c>
      <c r="E4" s="171">
        <f>SUMIF(U:U,"*[Entwurf]*",V:V)</f>
        <v>0</v>
      </c>
      <c r="F4" s="171">
        <f>SUMIF(U:U,"*[Recherche]*",V:V)</f>
        <v>0.46527777777777773</v>
      </c>
      <c r="G4" s="171">
        <f>SUMIF(U:U,"*[Organisation]*",V:V)</f>
        <v>0</v>
      </c>
      <c r="H4" s="171">
        <f>SUMIF(Meetings!C4:C19,"*Gutsche*",Meetings!B4:B19)</f>
        <v>0.29166666666666669</v>
      </c>
      <c r="I4" s="179">
        <f>SUM(C4:H5)</f>
        <v>0.75694444444444442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</row>
    <row r="5" spans="1:22" x14ac:dyDescent="0.25">
      <c r="B5" s="182"/>
      <c r="C5" s="171"/>
      <c r="D5" s="171"/>
      <c r="E5" s="171"/>
      <c r="F5" s="171"/>
      <c r="G5" s="171"/>
      <c r="H5" s="171"/>
      <c r="I5" s="179"/>
      <c r="K5" t="s">
        <v>271</v>
      </c>
      <c r="L5" s="89">
        <v>5.2083333333333336E-2</v>
      </c>
      <c r="M5" t="s">
        <v>235</v>
      </c>
      <c r="N5" s="89">
        <v>8.4027777777777771E-2</v>
      </c>
      <c r="O5" t="s">
        <v>204</v>
      </c>
      <c r="P5" s="89">
        <v>7.7777777777777779E-2</v>
      </c>
      <c r="Q5" t="s">
        <v>145</v>
      </c>
      <c r="R5" s="89">
        <v>4.1666666666666664E-2</v>
      </c>
      <c r="S5" t="s">
        <v>88</v>
      </c>
      <c r="T5" s="89">
        <v>5.2083333333333336E-2</v>
      </c>
      <c r="U5" s="2" t="s">
        <v>64</v>
      </c>
      <c r="V5" s="93">
        <v>9.375E-2</v>
      </c>
    </row>
    <row r="6" spans="1:22" x14ac:dyDescent="0.25">
      <c r="B6" s="183" t="s">
        <v>1</v>
      </c>
      <c r="C6" s="178">
        <f>SUMIF(S:S,"*[Implementierung]*",T:T)</f>
        <v>0.45347222222222228</v>
      </c>
      <c r="D6" s="178">
        <f>SUMIF(S:S,"*[Testen]*",T:T)</f>
        <v>0</v>
      </c>
      <c r="E6" s="178">
        <f>SUMIF(S:S,"*[Entwurf]*",T:T)</f>
        <v>7.2916666666666671E-2</v>
      </c>
      <c r="F6" s="178">
        <f>SUMIF(S:S,"*[Recherche]*",T:T)</f>
        <v>0</v>
      </c>
      <c r="G6" s="178">
        <f>SUMIF(S:S,"*[Organisation]*",T:T)</f>
        <v>6.25E-2</v>
      </c>
      <c r="H6" s="178">
        <f>SUMIF(Meetings!F4:F19,"*Gutsche*",Meetings!E4:E19)</f>
        <v>6.9444444444444448E-2</v>
      </c>
      <c r="I6" s="179">
        <f>SUM(C6:H7)</f>
        <v>0.65833333333333333</v>
      </c>
      <c r="K6" t="s">
        <v>277</v>
      </c>
      <c r="L6" s="89">
        <v>3.4722222222222224E-2</v>
      </c>
      <c r="M6" t="s">
        <v>243</v>
      </c>
      <c r="N6" s="89">
        <v>0.22152777777777777</v>
      </c>
      <c r="O6" t="s">
        <v>205</v>
      </c>
      <c r="P6" s="89">
        <v>1.0416666666666666E-2</v>
      </c>
      <c r="Q6" t="s">
        <v>146</v>
      </c>
      <c r="R6" s="89">
        <v>1.0416666666666666E-2</v>
      </c>
      <c r="S6" t="s">
        <v>104</v>
      </c>
      <c r="T6" s="89">
        <v>0.1111111111111111</v>
      </c>
      <c r="U6" s="2" t="s">
        <v>65</v>
      </c>
      <c r="V6" s="93">
        <v>0.25</v>
      </c>
    </row>
    <row r="7" spans="1:22" x14ac:dyDescent="0.25">
      <c r="B7" s="183"/>
      <c r="C7" s="178"/>
      <c r="D7" s="178"/>
      <c r="E7" s="178"/>
      <c r="F7" s="178"/>
      <c r="G7" s="178"/>
      <c r="H7" s="178"/>
      <c r="I7" s="179"/>
      <c r="K7" t="s">
        <v>280</v>
      </c>
      <c r="L7" s="89">
        <v>2.4305555555555556E-2</v>
      </c>
      <c r="M7" t="s">
        <v>255</v>
      </c>
      <c r="N7" s="89">
        <v>7.2916666666666671E-2</v>
      </c>
      <c r="O7" t="s">
        <v>206</v>
      </c>
      <c r="P7" s="89">
        <v>0.13055555555555556</v>
      </c>
      <c r="Q7" t="s">
        <v>147</v>
      </c>
      <c r="R7" s="89">
        <v>1.3888888888888888E-2</v>
      </c>
      <c r="S7" s="89" t="s">
        <v>105</v>
      </c>
      <c r="T7" s="89">
        <v>5.9027777777777783E-2</v>
      </c>
      <c r="U7" s="2" t="s">
        <v>66</v>
      </c>
      <c r="V7" s="93">
        <v>2.0833333333333332E-2</v>
      </c>
    </row>
    <row r="8" spans="1:22" x14ac:dyDescent="0.25">
      <c r="B8" s="183" t="s">
        <v>2</v>
      </c>
      <c r="C8" s="178">
        <f>SUMIF(Q:Q,"*[Implementierung]*",R:R)</f>
        <v>0.50347222222222232</v>
      </c>
      <c r="D8" s="178">
        <f>SUMIF(Q:Q,"*[Testen]*",R:R)</f>
        <v>0</v>
      </c>
      <c r="E8" s="178">
        <f>SUMIF(Q:Q,"*[Entwurf]*",R:R)</f>
        <v>0</v>
      </c>
      <c r="F8" s="178">
        <f>SUMIF(Q:Q,"*[Recherche]*",R:R)</f>
        <v>1.3888888888888888E-2</v>
      </c>
      <c r="G8" s="178">
        <f>SUMIF(Q:Q,"*[Organisation]*",R:R)</f>
        <v>4.1666666666666664E-2</v>
      </c>
      <c r="H8" s="178">
        <f>SUMIF(Meetings!I4:I19,"*Gutsche*",Meetings!H4:H19)</f>
        <v>0.14027777777777778</v>
      </c>
      <c r="I8" s="179">
        <f>SUM(C8:H9)</f>
        <v>0.69930555555555562</v>
      </c>
      <c r="K8" t="s">
        <v>283</v>
      </c>
      <c r="L8" s="89">
        <v>0.12986111111111112</v>
      </c>
      <c r="M8" t="s">
        <v>256</v>
      </c>
      <c r="N8" s="89">
        <v>6.0416666666666667E-2</v>
      </c>
      <c r="O8" t="s">
        <v>207</v>
      </c>
      <c r="P8" s="89">
        <v>2.7777777777777776E-2</v>
      </c>
      <c r="Q8" s="94" t="s">
        <v>148</v>
      </c>
      <c r="R8" s="89">
        <v>0.31944444444444448</v>
      </c>
      <c r="S8" t="s">
        <v>106</v>
      </c>
      <c r="T8" s="89">
        <v>2.0833333333333332E-2</v>
      </c>
      <c r="U8" s="2" t="s">
        <v>67</v>
      </c>
      <c r="V8" s="93">
        <v>0.10069444444444443</v>
      </c>
    </row>
    <row r="9" spans="1:22" x14ac:dyDescent="0.25">
      <c r="B9" s="183"/>
      <c r="C9" s="178"/>
      <c r="D9" s="178"/>
      <c r="E9" s="178"/>
      <c r="F9" s="178"/>
      <c r="G9" s="178"/>
      <c r="H9" s="178"/>
      <c r="I9" s="179"/>
      <c r="K9" t="s">
        <v>288</v>
      </c>
      <c r="L9" s="89">
        <v>4.5833333333333337E-2</v>
      </c>
      <c r="M9" t="s">
        <v>257</v>
      </c>
      <c r="N9" s="89">
        <v>1.3888888888888888E-2</v>
      </c>
      <c r="O9" t="s">
        <v>208</v>
      </c>
      <c r="P9" s="89">
        <v>6.9444444444444434E-2</v>
      </c>
      <c r="Q9" s="95" t="s">
        <v>149</v>
      </c>
      <c r="R9" s="89">
        <v>1.3888888888888888E-2</v>
      </c>
      <c r="S9" t="s">
        <v>107</v>
      </c>
      <c r="T9" s="89">
        <v>0.12152777777777778</v>
      </c>
    </row>
    <row r="10" spans="1:22" x14ac:dyDescent="0.25">
      <c r="B10" s="183" t="s">
        <v>3</v>
      </c>
      <c r="C10" s="178">
        <f>SUMIF(O:O,"*[Implementierung]*",P:P)</f>
        <v>0.37361111111111112</v>
      </c>
      <c r="D10" s="178">
        <f>SUMIF(O:O,"*[Testen]*",P:P)</f>
        <v>0</v>
      </c>
      <c r="E10" s="178">
        <f>SUMIF(O:O,"*[Entwurf]*",P:P)</f>
        <v>0</v>
      </c>
      <c r="F10" s="178">
        <f>SUMIF(O:O,"*[Recherche]*",P:P)</f>
        <v>4.7222222222222221E-2</v>
      </c>
      <c r="G10" s="178">
        <f>SUMIF(O:O,"*[Organisation]*",P:P)</f>
        <v>6.9444444444444434E-2</v>
      </c>
      <c r="H10" s="178">
        <f>SUMIF(Meetings!L4:L19,"*Gutsche*",Meetings!K4:K19)</f>
        <v>7.6388888888888881E-2</v>
      </c>
      <c r="I10" s="179">
        <f>SUM(C10:H11)</f>
        <v>0.56666666666666665</v>
      </c>
      <c r="K10" t="s">
        <v>286</v>
      </c>
      <c r="L10" s="89">
        <v>0.11180555555555556</v>
      </c>
      <c r="O10" t="s">
        <v>209</v>
      </c>
      <c r="P10" s="89">
        <v>2.7777777777777776E-2</v>
      </c>
      <c r="Q10" s="95" t="s">
        <v>150</v>
      </c>
      <c r="R10" s="89">
        <v>3.4722222222222224E-2</v>
      </c>
      <c r="S10" t="s">
        <v>108</v>
      </c>
      <c r="T10" s="89">
        <v>0.16180555555555556</v>
      </c>
    </row>
    <row r="11" spans="1:22" x14ac:dyDescent="0.25">
      <c r="B11" s="183"/>
      <c r="C11" s="178"/>
      <c r="D11" s="178"/>
      <c r="E11" s="178"/>
      <c r="F11" s="178"/>
      <c r="G11" s="178"/>
      <c r="H11" s="178"/>
      <c r="I11" s="179"/>
      <c r="K11" s="36" t="s">
        <v>256</v>
      </c>
      <c r="L11" s="89">
        <v>1.8055555555555557E-2</v>
      </c>
      <c r="O11" t="s">
        <v>210</v>
      </c>
      <c r="P11" s="89">
        <v>4.7222222222222221E-2</v>
      </c>
      <c r="Q11" s="95" t="s">
        <v>149</v>
      </c>
      <c r="R11" s="89">
        <v>1.0416666666666666E-2</v>
      </c>
      <c r="S11" t="s">
        <v>87</v>
      </c>
      <c r="T11" s="89">
        <v>6.25E-2</v>
      </c>
    </row>
    <row r="12" spans="1:22" x14ac:dyDescent="0.25">
      <c r="B12" s="183" t="s">
        <v>4</v>
      </c>
      <c r="C12" s="178">
        <f>SUMIF(M:M,"*[Implementierung]*",N:N)</f>
        <v>0.37986111111111109</v>
      </c>
      <c r="D12" s="178">
        <f>SUMIF(M:M,"*[Testen]*",N:N)</f>
        <v>0</v>
      </c>
      <c r="E12" s="178">
        <f>SUMIF(M:M,"*[Entwurf]*",N:N)</f>
        <v>0</v>
      </c>
      <c r="F12" s="178">
        <f>SUMIF(M:M,"*[Recherche]*",N:N)</f>
        <v>0</v>
      </c>
      <c r="G12" s="178">
        <f>SUMIF(M:M,"*[Organisation]*",N:N)</f>
        <v>7.2916666666666671E-2</v>
      </c>
      <c r="H12" s="178">
        <f>SUMIF(Meetings!O4:O19,"*Gutsche*",Meetings!N4:N19)</f>
        <v>6.041666666666666E-2</v>
      </c>
      <c r="I12" s="179">
        <f>SUM(C12:H13)</f>
        <v>0.5131944444444444</v>
      </c>
      <c r="O12" t="s">
        <v>211</v>
      </c>
      <c r="P12" s="89">
        <v>1.7361111111111112E-2</v>
      </c>
      <c r="Q12" s="95" t="s">
        <v>151</v>
      </c>
      <c r="R12" s="89">
        <v>5.2083333333333336E-2</v>
      </c>
    </row>
    <row r="13" spans="1:22" x14ac:dyDescent="0.25">
      <c r="B13" s="183"/>
      <c r="C13" s="178"/>
      <c r="D13" s="178"/>
      <c r="E13" s="178"/>
      <c r="F13" s="178"/>
      <c r="G13" s="178"/>
      <c r="H13" s="178"/>
      <c r="I13" s="179"/>
      <c r="O13" t="s">
        <v>206</v>
      </c>
      <c r="P13" s="89">
        <v>8.1944444444444445E-2</v>
      </c>
      <c r="Q13" s="95" t="s">
        <v>152</v>
      </c>
      <c r="R13" s="89">
        <v>6.25E-2</v>
      </c>
    </row>
    <row r="14" spans="1:22" x14ac:dyDescent="0.25">
      <c r="B14" s="183" t="s">
        <v>5</v>
      </c>
      <c r="C14" s="178">
        <f>SUMIF(K:K,"*[Implementierung]*",L:L)</f>
        <v>0.3298611111111111</v>
      </c>
      <c r="D14" s="178">
        <f>SUMIF(K:K,"*[Testen]*",L:L)</f>
        <v>0</v>
      </c>
      <c r="E14" s="178">
        <f>SUMIF(K:K,"*[Entwurf]*",L:L)</f>
        <v>0</v>
      </c>
      <c r="F14" s="178">
        <f>SUMIF(K:K,"*[Recherche]*",L:L)</f>
        <v>0</v>
      </c>
      <c r="G14" s="178">
        <f>SUMIF(K:K,"*[Organisation]*",L:L)</f>
        <v>8.6805555555555552E-2</v>
      </c>
      <c r="H14" s="178">
        <f>SUMIF(Meetings!R4:R19,"*Gutsche*",Meetings!Q4:Q19)</f>
        <v>0.11458333333333331</v>
      </c>
      <c r="I14" s="179">
        <f>SUM(C14:H15)</f>
        <v>0.53125</v>
      </c>
    </row>
    <row r="15" spans="1:22" x14ac:dyDescent="0.25">
      <c r="B15" s="183"/>
      <c r="C15" s="178"/>
      <c r="D15" s="178"/>
      <c r="E15" s="178"/>
      <c r="F15" s="178"/>
      <c r="G15" s="178"/>
      <c r="H15" s="178"/>
      <c r="I15" s="179"/>
    </row>
    <row r="16" spans="1:22" x14ac:dyDescent="0.25">
      <c r="B16" s="183" t="s">
        <v>6</v>
      </c>
      <c r="C16" s="178"/>
      <c r="D16" s="178"/>
      <c r="E16" s="178"/>
      <c r="F16" s="178"/>
      <c r="G16" s="178"/>
      <c r="H16" s="178">
        <f>SUMIF(Meetings!U4:U19,"*Gutsche*",Meetings!T4:T19)</f>
        <v>0</v>
      </c>
      <c r="I16" s="179">
        <f>SUM(C16:H17)</f>
        <v>0</v>
      </c>
    </row>
    <row r="17" spans="2:9" x14ac:dyDescent="0.25">
      <c r="B17" s="183"/>
      <c r="C17" s="178"/>
      <c r="D17" s="178"/>
      <c r="E17" s="178"/>
      <c r="F17" s="178"/>
      <c r="G17" s="178"/>
      <c r="H17" s="178"/>
      <c r="I17" s="179"/>
    </row>
    <row r="18" spans="2:9" x14ac:dyDescent="0.25">
      <c r="B18" s="183" t="s">
        <v>28</v>
      </c>
      <c r="C18" s="178"/>
      <c r="D18" s="178"/>
      <c r="E18" s="178"/>
      <c r="F18" s="178"/>
      <c r="G18" s="178"/>
      <c r="H18" s="178">
        <f>SUMIF(Meetings!C22:C37,"*Gutsche*",Meetings!B22:B37)</f>
        <v>0</v>
      </c>
      <c r="I18" s="179">
        <f>SUM(C18:H19)</f>
        <v>0</v>
      </c>
    </row>
    <row r="19" spans="2:9" x14ac:dyDescent="0.25">
      <c r="B19" s="183"/>
      <c r="C19" s="178"/>
      <c r="D19" s="178"/>
      <c r="E19" s="178"/>
      <c r="F19" s="178"/>
      <c r="G19" s="178"/>
      <c r="H19" s="178"/>
      <c r="I19" s="179"/>
    </row>
    <row r="20" spans="2:9" x14ac:dyDescent="0.25">
      <c r="B20" s="183" t="s">
        <v>29</v>
      </c>
      <c r="C20" s="178"/>
      <c r="D20" s="178"/>
      <c r="E20" s="178"/>
      <c r="F20" s="178"/>
      <c r="G20" s="178"/>
      <c r="H20" s="178">
        <f>SUMIF(Meetings!F22:F37,"*Gutsche*",Meetings!E22:E37)</f>
        <v>0</v>
      </c>
      <c r="I20" s="179">
        <f>SUM(C20:H21)</f>
        <v>0</v>
      </c>
    </row>
    <row r="21" spans="2:9" x14ac:dyDescent="0.25">
      <c r="B21" s="183"/>
      <c r="C21" s="178"/>
      <c r="D21" s="178"/>
      <c r="E21" s="178"/>
      <c r="F21" s="178"/>
      <c r="G21" s="178"/>
      <c r="H21" s="178"/>
      <c r="I21" s="179"/>
    </row>
    <row r="22" spans="2:9" x14ac:dyDescent="0.25">
      <c r="B22" s="183" t="s">
        <v>30</v>
      </c>
      <c r="C22" s="178"/>
      <c r="D22" s="178"/>
      <c r="E22" s="178"/>
      <c r="F22" s="178"/>
      <c r="G22" s="178"/>
      <c r="H22" s="178">
        <f>SUMIF(Meetings!I22:I37,"*Gutsche*",Meetings!H22:H37)</f>
        <v>0</v>
      </c>
      <c r="I22" s="179">
        <f>SUM(C22:H23)</f>
        <v>0</v>
      </c>
    </row>
    <row r="23" spans="2:9" x14ac:dyDescent="0.25">
      <c r="B23" s="183"/>
      <c r="C23" s="178"/>
      <c r="D23" s="178"/>
      <c r="E23" s="178"/>
      <c r="F23" s="178"/>
      <c r="G23" s="178"/>
      <c r="H23" s="178"/>
      <c r="I23" s="179"/>
    </row>
    <row r="24" spans="2:9" x14ac:dyDescent="0.25">
      <c r="B24" s="183" t="s">
        <v>31</v>
      </c>
      <c r="C24" s="178"/>
      <c r="D24" s="178"/>
      <c r="E24" s="178"/>
      <c r="F24" s="178"/>
      <c r="G24" s="178"/>
      <c r="H24" s="178">
        <f>SUMIF(Meetings!L22:L37,"*Gutsche*",Meetings!K22:K37)</f>
        <v>0</v>
      </c>
      <c r="I24" s="179">
        <f>SUM(C24:H25)</f>
        <v>0</v>
      </c>
    </row>
    <row r="25" spans="2:9" x14ac:dyDescent="0.25">
      <c r="B25" s="183"/>
      <c r="C25" s="178"/>
      <c r="D25" s="178"/>
      <c r="E25" s="178"/>
      <c r="F25" s="178"/>
      <c r="G25" s="178"/>
      <c r="H25" s="178"/>
      <c r="I25" s="179"/>
    </row>
    <row r="26" spans="2:9" x14ac:dyDescent="0.25">
      <c r="B26" s="183" t="s">
        <v>32</v>
      </c>
      <c r="C26" s="178"/>
      <c r="D26" s="178"/>
      <c r="E26" s="178"/>
      <c r="F26" s="178"/>
      <c r="G26" s="178"/>
      <c r="H26" s="178">
        <f>SUMIF(Meetings!O22:O37,"*Gutsche*",Meetings!N22:N37)</f>
        <v>0</v>
      </c>
      <c r="I26" s="179">
        <f>SUM(C26:H27)</f>
        <v>0</v>
      </c>
    </row>
    <row r="27" spans="2:9" x14ac:dyDescent="0.25">
      <c r="B27" s="183"/>
      <c r="C27" s="178"/>
      <c r="D27" s="178"/>
      <c r="E27" s="178"/>
      <c r="F27" s="178"/>
      <c r="G27" s="178"/>
      <c r="H27" s="178"/>
      <c r="I27" s="179"/>
    </row>
    <row r="28" spans="2:9" x14ac:dyDescent="0.25">
      <c r="B28" s="183" t="s">
        <v>33</v>
      </c>
      <c r="C28" s="178"/>
      <c r="D28" s="178"/>
      <c r="E28" s="178"/>
      <c r="F28" s="178"/>
      <c r="G28" s="178"/>
      <c r="H28" s="178">
        <f>SUMIF(Meetings!R22:R37,"*Gutsche*",Meetings!Q22:Q37)</f>
        <v>0</v>
      </c>
      <c r="I28" s="179">
        <f>SUM(C28:H29)</f>
        <v>0</v>
      </c>
    </row>
    <row r="29" spans="2:9" x14ac:dyDescent="0.25">
      <c r="B29" s="183"/>
      <c r="C29" s="178"/>
      <c r="D29" s="178"/>
      <c r="E29" s="178"/>
      <c r="F29" s="178"/>
      <c r="G29" s="178"/>
      <c r="H29" s="178"/>
      <c r="I29" s="179"/>
    </row>
    <row r="30" spans="2:9" x14ac:dyDescent="0.25">
      <c r="B30" s="183" t="s">
        <v>34</v>
      </c>
      <c r="C30" s="178"/>
      <c r="D30" s="178"/>
      <c r="E30" s="178"/>
      <c r="F30" s="178"/>
      <c r="G30" s="178"/>
      <c r="H30" s="178">
        <f>SUMIF(Meetings!U22:U37,"*Gutsche*",Meetings!T22:T37)</f>
        <v>0</v>
      </c>
      <c r="I30" s="179">
        <f>SUM(C30:H31)</f>
        <v>0</v>
      </c>
    </row>
    <row r="31" spans="2:9" ht="15.75" thickBot="1" x14ac:dyDescent="0.3">
      <c r="B31" s="183"/>
      <c r="C31" s="178"/>
      <c r="D31" s="178"/>
      <c r="E31" s="178"/>
      <c r="F31" s="178"/>
      <c r="G31" s="178"/>
      <c r="H31" s="178"/>
      <c r="I31" s="180"/>
    </row>
    <row r="32" spans="2:9" x14ac:dyDescent="0.25">
      <c r="B32" s="177" t="s">
        <v>43</v>
      </c>
      <c r="C32" s="179">
        <f>SUM(C4:C31)</f>
        <v>2.0402777777777779</v>
      </c>
      <c r="D32" s="179">
        <f t="shared" ref="D32:H32" si="0">SUM(D4:D31)</f>
        <v>0</v>
      </c>
      <c r="E32" s="179">
        <f t="shared" si="0"/>
        <v>7.2916666666666671E-2</v>
      </c>
      <c r="F32" s="179">
        <f t="shared" si="0"/>
        <v>0.5263888888888888</v>
      </c>
      <c r="G32" s="179">
        <f t="shared" si="0"/>
        <v>0.33333333333333337</v>
      </c>
      <c r="H32" s="184">
        <f t="shared" si="0"/>
        <v>0.75277777777777777</v>
      </c>
      <c r="I32" s="186">
        <f>SUM(C32:H33)</f>
        <v>3.7256944444444446</v>
      </c>
    </row>
    <row r="33" spans="2:9" ht="15.75" thickBot="1" x14ac:dyDescent="0.3">
      <c r="B33" s="177"/>
      <c r="C33" s="177"/>
      <c r="D33" s="177"/>
      <c r="E33" s="177"/>
      <c r="F33" s="177"/>
      <c r="G33" s="177"/>
      <c r="H33" s="185"/>
      <c r="I33" s="187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V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22" ht="26.25" x14ac:dyDescent="0.4">
      <c r="A1" s="175" t="s">
        <v>54</v>
      </c>
      <c r="B1" s="175"/>
      <c r="C1" s="175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5</v>
      </c>
      <c r="L3" s="62"/>
      <c r="M3" s="62" t="s">
        <v>4</v>
      </c>
      <c r="N3" s="62"/>
      <c r="O3" s="62" t="s">
        <v>3</v>
      </c>
      <c r="P3" s="62"/>
      <c r="Q3" s="62" t="s">
        <v>2</v>
      </c>
      <c r="R3" s="62"/>
      <c r="S3" s="62" t="s">
        <v>1</v>
      </c>
      <c r="T3" s="62"/>
      <c r="U3" s="50" t="s">
        <v>37</v>
      </c>
      <c r="V3" s="50"/>
    </row>
    <row r="4" spans="1:22" x14ac:dyDescent="0.25">
      <c r="B4" s="181" t="s">
        <v>37</v>
      </c>
      <c r="C4" s="171">
        <f>SUMIF(U:U,"*[Implementierung]*",V:V)</f>
        <v>0</v>
      </c>
      <c r="D4" s="171">
        <f>SUMIF(U:U,"*[Testen]*",V:V)</f>
        <v>0</v>
      </c>
      <c r="E4" s="171">
        <f>SUMIF(U:U,"*[Entwurf]*",V:V)</f>
        <v>0</v>
      </c>
      <c r="F4" s="171">
        <f>SUMIF(U:U,"*[Recherche]*",V:V)</f>
        <v>0.33333333333333331</v>
      </c>
      <c r="G4" s="171">
        <f>SUMIF(U:U,"*[Organisation]*",V:V)</f>
        <v>0</v>
      </c>
      <c r="H4" s="171">
        <f>SUMIF(Meetings!C4:C19,"*Lapp*",Meetings!B4:B19)</f>
        <v>0.29166666666666669</v>
      </c>
      <c r="I4" s="179">
        <f>SUM(C4:H5)</f>
        <v>0.625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</row>
    <row r="5" spans="1:22" x14ac:dyDescent="0.25">
      <c r="B5" s="182"/>
      <c r="C5" s="171"/>
      <c r="D5" s="171"/>
      <c r="E5" s="171"/>
      <c r="F5" s="171"/>
      <c r="G5" s="171"/>
      <c r="H5" s="171"/>
      <c r="I5" s="179"/>
      <c r="K5" t="s">
        <v>272</v>
      </c>
      <c r="L5" s="89">
        <v>8.3333333333333329E-2</v>
      </c>
      <c r="M5" t="s">
        <v>236</v>
      </c>
      <c r="N5" s="89">
        <v>2.7777777777777776E-2</v>
      </c>
      <c r="O5" t="s">
        <v>212</v>
      </c>
      <c r="P5" s="89">
        <v>8.3333333333333329E-2</v>
      </c>
      <c r="Q5" t="s">
        <v>145</v>
      </c>
      <c r="R5" s="89">
        <v>4.1666666666666664E-2</v>
      </c>
      <c r="S5" t="s">
        <v>109</v>
      </c>
      <c r="T5" s="89">
        <v>8.3333333333333329E-2</v>
      </c>
      <c r="U5" s="2" t="s">
        <v>68</v>
      </c>
      <c r="V5" s="93">
        <v>0.16666666666666666</v>
      </c>
    </row>
    <row r="6" spans="1:22" x14ac:dyDescent="0.25">
      <c r="B6" s="183" t="s">
        <v>1</v>
      </c>
      <c r="C6" s="178">
        <f>SUMIF(S:S,"*[Implementierung]*",T:T)</f>
        <v>0.41319444444444448</v>
      </c>
      <c r="D6" s="178">
        <f>SUMIF(S:S,"*[Testen]*",T:T)</f>
        <v>7.2916666666666671E-2</v>
      </c>
      <c r="E6" s="178">
        <f>SUMIF(S:S,"*[Entwurf]*",T:T)</f>
        <v>0.21875</v>
      </c>
      <c r="F6" s="178">
        <f>SUMIF(S:S,"*[Recherche]*",T:T)</f>
        <v>8.3333333333333329E-2</v>
      </c>
      <c r="G6" s="178">
        <f>SUMIF(S:S,"*[Organisation]*",T:T)</f>
        <v>0</v>
      </c>
      <c r="H6" s="178">
        <f>SUMIF(Meetings!F4:F19,"*Lapp*",Meetings!E4:E19)</f>
        <v>6.9444444444444448E-2</v>
      </c>
      <c r="I6" s="179">
        <f>SUM(C6:H7)</f>
        <v>0.85763888888888895</v>
      </c>
      <c r="K6" t="s">
        <v>273</v>
      </c>
      <c r="L6" s="89">
        <v>4.1666666666666664E-2</v>
      </c>
      <c r="M6" t="s">
        <v>237</v>
      </c>
      <c r="N6" s="89">
        <v>0.10416666666666667</v>
      </c>
      <c r="O6" t="s">
        <v>213</v>
      </c>
      <c r="P6" s="89">
        <v>0.10416666666666667</v>
      </c>
      <c r="Q6" t="s">
        <v>153</v>
      </c>
      <c r="R6" s="89">
        <v>0.16666666666666666</v>
      </c>
      <c r="S6" t="s">
        <v>110</v>
      </c>
      <c r="T6" s="89">
        <v>4.1666666666666664E-2</v>
      </c>
      <c r="U6" s="2" t="s">
        <v>69</v>
      </c>
      <c r="V6" s="93">
        <v>0.16666666666666666</v>
      </c>
    </row>
    <row r="7" spans="1:22" x14ac:dyDescent="0.25">
      <c r="B7" s="183"/>
      <c r="C7" s="178"/>
      <c r="D7" s="178"/>
      <c r="E7" s="178"/>
      <c r="F7" s="178"/>
      <c r="G7" s="178"/>
      <c r="H7" s="178"/>
      <c r="I7" s="179"/>
      <c r="K7" t="s">
        <v>274</v>
      </c>
      <c r="L7" s="89">
        <v>4.1666666666666664E-2</v>
      </c>
      <c r="M7" t="s">
        <v>239</v>
      </c>
      <c r="N7" s="89">
        <v>0.10416666666666667</v>
      </c>
      <c r="O7" t="s">
        <v>214</v>
      </c>
      <c r="P7" s="89">
        <v>7.2916666666666671E-2</v>
      </c>
      <c r="Q7" t="s">
        <v>154</v>
      </c>
      <c r="R7" s="89">
        <v>0.10416666666666667</v>
      </c>
      <c r="S7" t="s">
        <v>111</v>
      </c>
      <c r="T7" s="89">
        <v>8.3333333333333329E-2</v>
      </c>
    </row>
    <row r="8" spans="1:22" x14ac:dyDescent="0.25">
      <c r="B8" s="183" t="s">
        <v>2</v>
      </c>
      <c r="C8" s="178">
        <f>SUMIF(Q:Q,"*[Implementierung]*",R:R)</f>
        <v>0.63888888888888884</v>
      </c>
      <c r="D8" s="178">
        <f>SUMIF(Q:Q,"*[Testen]*",R:R)</f>
        <v>2.0833333333333332E-2</v>
      </c>
      <c r="E8" s="178">
        <f>SUMIF(Q:Q,"*[Entwurf]*",R:R)</f>
        <v>5.2083333333333329E-2</v>
      </c>
      <c r="F8" s="178">
        <f>SUMIF(Q:Q,"*[Recherche]*",R:R)</f>
        <v>0</v>
      </c>
      <c r="G8" s="178">
        <f>SUMIF(Q:Q,"*[Organisation]*",R:R)</f>
        <v>5.5555555555555552E-2</v>
      </c>
      <c r="H8" s="178">
        <f>SUMIF(Meetings!I4:I19,"*Lapp*",Meetings!H4:H19)</f>
        <v>0.10416666666666666</v>
      </c>
      <c r="I8" s="179">
        <f>SUM(C8:H9)</f>
        <v>0.87152777777777779</v>
      </c>
      <c r="K8" t="s">
        <v>275</v>
      </c>
      <c r="L8" s="89">
        <v>0.16666666666666666</v>
      </c>
      <c r="M8" t="s">
        <v>240</v>
      </c>
      <c r="N8" s="89">
        <v>2.7777777777777776E-2</v>
      </c>
      <c r="O8" t="s">
        <v>207</v>
      </c>
      <c r="P8" s="89">
        <v>1.3888888888888888E-2</v>
      </c>
      <c r="Q8" t="s">
        <v>155</v>
      </c>
      <c r="R8" s="89">
        <v>1.3888888888888888E-2</v>
      </c>
      <c r="S8" t="s">
        <v>112</v>
      </c>
      <c r="T8" s="89">
        <v>2.0833333333333332E-2</v>
      </c>
    </row>
    <row r="9" spans="1:22" x14ac:dyDescent="0.25">
      <c r="B9" s="183"/>
      <c r="C9" s="178"/>
      <c r="D9" s="178"/>
      <c r="E9" s="178"/>
      <c r="F9" s="178"/>
      <c r="G9" s="178"/>
      <c r="H9" s="178"/>
      <c r="I9" s="179"/>
      <c r="K9" t="s">
        <v>276</v>
      </c>
      <c r="L9" s="89">
        <v>2.7777777777777776E-2</v>
      </c>
      <c r="M9" t="s">
        <v>241</v>
      </c>
      <c r="N9" s="89">
        <v>0.10416666666666667</v>
      </c>
      <c r="O9" t="s">
        <v>215</v>
      </c>
      <c r="P9" s="89">
        <v>0.10416666666666667</v>
      </c>
      <c r="Q9" t="s">
        <v>156</v>
      </c>
      <c r="R9" s="89">
        <v>3.125E-2</v>
      </c>
      <c r="S9" t="s">
        <v>113</v>
      </c>
      <c r="T9" s="89">
        <v>2.7777777777777776E-2</v>
      </c>
    </row>
    <row r="10" spans="1:22" x14ac:dyDescent="0.25">
      <c r="B10" s="183" t="s">
        <v>3</v>
      </c>
      <c r="C10" s="178">
        <f>SUMIF(O:O,"*[Implementierung]*",P:P)</f>
        <v>0.51388888888888895</v>
      </c>
      <c r="D10" s="178">
        <f>SUMIF(O:O,"*[Testen]*",P:P)</f>
        <v>3.8194444444444448E-2</v>
      </c>
      <c r="E10" s="178">
        <f>SUMIF(O:O,"*[Entwurf]*",P:P)</f>
        <v>0</v>
      </c>
      <c r="F10" s="178">
        <f>SUMIF(O:O,"*[Recherche]*",P:P)</f>
        <v>7.2916666666666671E-2</v>
      </c>
      <c r="G10" s="178">
        <f>SUMIF(O:O,"*[Organisation]*",P:P)</f>
        <v>0</v>
      </c>
      <c r="H10" s="178">
        <f>SUMIF(Meetings!L4:L19,"*Lapp*",Meetings!K4:K19)</f>
        <v>0.10763888888888888</v>
      </c>
      <c r="I10" s="179">
        <f>SUM(C10:H11)</f>
        <v>0.73263888888888884</v>
      </c>
      <c r="K10" t="s">
        <v>277</v>
      </c>
      <c r="L10" s="89">
        <v>3.4722222222222224E-2</v>
      </c>
      <c r="M10" t="s">
        <v>249</v>
      </c>
      <c r="N10" s="89">
        <v>0.14583333333333334</v>
      </c>
      <c r="O10" t="s">
        <v>216</v>
      </c>
      <c r="P10" s="89">
        <v>7.2916666666666671E-2</v>
      </c>
      <c r="Q10" t="s">
        <v>157</v>
      </c>
      <c r="R10" s="89">
        <v>8.3333333333333329E-2</v>
      </c>
      <c r="S10" t="s">
        <v>106</v>
      </c>
      <c r="T10" s="89">
        <v>2.0833333333333332E-2</v>
      </c>
    </row>
    <row r="11" spans="1:22" x14ac:dyDescent="0.25">
      <c r="B11" s="183"/>
      <c r="C11" s="178"/>
      <c r="D11" s="178"/>
      <c r="E11" s="178"/>
      <c r="F11" s="178"/>
      <c r="G11" s="178"/>
      <c r="H11" s="178"/>
      <c r="I11" s="179"/>
      <c r="K11" t="s">
        <v>284</v>
      </c>
      <c r="L11" s="89">
        <v>0.10416666666666667</v>
      </c>
      <c r="M11" t="s">
        <v>250</v>
      </c>
      <c r="N11" s="89">
        <v>6.25E-2</v>
      </c>
      <c r="O11" t="s">
        <v>217</v>
      </c>
      <c r="P11" s="89">
        <v>0.13541666666666666</v>
      </c>
      <c r="Q11" t="s">
        <v>158</v>
      </c>
      <c r="R11" s="89">
        <v>2.0833333333333332E-2</v>
      </c>
      <c r="S11" t="s">
        <v>114</v>
      </c>
      <c r="T11" s="89">
        <v>3.125E-2</v>
      </c>
    </row>
    <row r="12" spans="1:22" x14ac:dyDescent="0.25">
      <c r="B12" s="183" t="s">
        <v>4</v>
      </c>
      <c r="C12" s="178">
        <f>SUMIF(M:M,"*[Implementierung]*",N:N)</f>
        <v>0.43055555555555558</v>
      </c>
      <c r="D12" s="178">
        <f>SUMIF(M:M,"*[Testen]*",N:N)</f>
        <v>0</v>
      </c>
      <c r="E12" s="178">
        <f>SUMIF(M:M,"*[Entwurf]*",N:N)</f>
        <v>0</v>
      </c>
      <c r="F12" s="178">
        <f>SUMIF(M:M,"*[Recherche]*",N:N)</f>
        <v>0.25</v>
      </c>
      <c r="G12" s="178">
        <f>SUMIF(M:M,"*[Organisation]*",N:N)</f>
        <v>1.7361111111111112E-2</v>
      </c>
      <c r="H12" s="178">
        <f>SUMIF(Meetings!O4:O19,"*Lapp*",Meetings!N4:N19)</f>
        <v>8.1249999999999989E-2</v>
      </c>
      <c r="I12" s="179">
        <f>SUM(C12:H13)</f>
        <v>0.77916666666666679</v>
      </c>
      <c r="K12" s="2" t="s">
        <v>233</v>
      </c>
      <c r="L12" s="89">
        <v>9.0277777777777776E-2</v>
      </c>
      <c r="M12" t="s">
        <v>251</v>
      </c>
      <c r="N12" s="89">
        <v>0.10416666666666667</v>
      </c>
      <c r="O12" t="s">
        <v>218</v>
      </c>
      <c r="P12" s="89">
        <v>3.125E-2</v>
      </c>
      <c r="Q12" t="s">
        <v>159</v>
      </c>
      <c r="R12" s="89">
        <v>3.125E-2</v>
      </c>
      <c r="S12" t="s">
        <v>115</v>
      </c>
      <c r="T12" s="89">
        <v>0.10416666666666667</v>
      </c>
    </row>
    <row r="13" spans="1:22" x14ac:dyDescent="0.25">
      <c r="B13" s="183"/>
      <c r="C13" s="178"/>
      <c r="D13" s="178"/>
      <c r="E13" s="178"/>
      <c r="F13" s="178"/>
      <c r="G13" s="178"/>
      <c r="H13" s="178"/>
      <c r="I13" s="179"/>
      <c r="M13" t="s">
        <v>255</v>
      </c>
      <c r="N13" s="89">
        <v>1.7361111111111112E-2</v>
      </c>
      <c r="O13" t="s">
        <v>233</v>
      </c>
      <c r="P13" s="89">
        <v>6.9444444444444441E-3</v>
      </c>
      <c r="Q13" t="s">
        <v>160</v>
      </c>
      <c r="R13" s="89">
        <v>1.3888888888888888E-2</v>
      </c>
      <c r="S13" t="s">
        <v>116</v>
      </c>
      <c r="T13" s="89">
        <v>7.2916666666666671E-2</v>
      </c>
    </row>
    <row r="14" spans="1:22" x14ac:dyDescent="0.25">
      <c r="B14" s="183" t="s">
        <v>5</v>
      </c>
      <c r="C14" s="178">
        <f>SUMIF(K:K,"*[Implementierung]*",L:L)</f>
        <v>0.4236111111111111</v>
      </c>
      <c r="D14" s="178">
        <f>SUMIF(K:K,"*[Testen]*",L:L)</f>
        <v>9.0277777777777776E-2</v>
      </c>
      <c r="E14" s="178">
        <f>SUMIF(K:K,"*[Entwurf]*",L:L)</f>
        <v>4.1666666666666664E-2</v>
      </c>
      <c r="F14" s="178">
        <f>SUMIF(K:K,"*[Recherche]*",L:L)</f>
        <v>0</v>
      </c>
      <c r="G14" s="178">
        <f>SUMIF(K:K,"*[Organisation]*",L:L)</f>
        <v>3.4722222222222224E-2</v>
      </c>
      <c r="H14" s="178">
        <f>SUMIF(Meetings!R4:R19,"*Lapp*",Meetings!Q4:Q19)</f>
        <v>0.12847222222222221</v>
      </c>
      <c r="I14" s="179">
        <f>SUM(C14:H15)</f>
        <v>0.71874999999999989</v>
      </c>
      <c r="Q14" t="s">
        <v>161</v>
      </c>
      <c r="R14" s="89">
        <v>2.7777777777777776E-2</v>
      </c>
      <c r="S14" t="s">
        <v>117</v>
      </c>
      <c r="T14" s="89">
        <v>1.0416666666666666E-2</v>
      </c>
    </row>
    <row r="15" spans="1:22" x14ac:dyDescent="0.25">
      <c r="B15" s="183"/>
      <c r="C15" s="178"/>
      <c r="D15" s="178"/>
      <c r="E15" s="178"/>
      <c r="F15" s="178"/>
      <c r="G15" s="178"/>
      <c r="H15" s="178"/>
      <c r="I15" s="179"/>
      <c r="Q15" t="s">
        <v>162</v>
      </c>
      <c r="R15" s="89">
        <v>6.25E-2</v>
      </c>
      <c r="S15" t="s">
        <v>118</v>
      </c>
      <c r="T15" s="49">
        <v>0.16666666666666666</v>
      </c>
    </row>
    <row r="16" spans="1:22" x14ac:dyDescent="0.25">
      <c r="B16" s="183" t="s">
        <v>6</v>
      </c>
      <c r="C16" s="178"/>
      <c r="D16" s="178"/>
      <c r="E16" s="178"/>
      <c r="F16" s="178"/>
      <c r="G16" s="178"/>
      <c r="H16" s="178">
        <f>SUMIF(Meetings!U4:U19,"*Lapp*",Meetings!T4:T19)</f>
        <v>0</v>
      </c>
      <c r="I16" s="179">
        <f>SUM(C16:H17)</f>
        <v>0</v>
      </c>
      <c r="Q16" t="s">
        <v>163</v>
      </c>
      <c r="R16" s="89">
        <v>3.472222222222222E-3</v>
      </c>
      <c r="S16" t="s">
        <v>119</v>
      </c>
      <c r="T16" s="89">
        <v>8.3333333333333329E-2</v>
      </c>
    </row>
    <row r="17" spans="2:20" x14ac:dyDescent="0.25">
      <c r="B17" s="183"/>
      <c r="C17" s="178"/>
      <c r="D17" s="178"/>
      <c r="E17" s="178"/>
      <c r="F17" s="178"/>
      <c r="G17" s="178"/>
      <c r="H17" s="178"/>
      <c r="I17" s="179"/>
      <c r="Q17" t="s">
        <v>164</v>
      </c>
      <c r="R17" s="89">
        <v>4.8611111111111112E-2</v>
      </c>
      <c r="S17" t="s">
        <v>120</v>
      </c>
      <c r="T17" s="89">
        <v>4.1666666666666664E-2</v>
      </c>
    </row>
    <row r="18" spans="2:20" x14ac:dyDescent="0.25">
      <c r="B18" s="183" t="s">
        <v>28</v>
      </c>
      <c r="C18" s="178"/>
      <c r="D18" s="178"/>
      <c r="E18" s="178"/>
      <c r="F18" s="178"/>
      <c r="G18" s="178"/>
      <c r="H18" s="178">
        <f>SUMIF(Meetings!C22:C37,"*Lapp*",Meetings!B22:B37)</f>
        <v>0</v>
      </c>
      <c r="I18" s="179">
        <f>SUM(C18:H19)</f>
        <v>0</v>
      </c>
      <c r="Q18" t="s">
        <v>165</v>
      </c>
      <c r="R18" s="89">
        <v>1.0416666666666666E-2</v>
      </c>
    </row>
    <row r="19" spans="2:20" x14ac:dyDescent="0.25">
      <c r="B19" s="183"/>
      <c r="C19" s="178"/>
      <c r="D19" s="178"/>
      <c r="E19" s="178"/>
      <c r="F19" s="178"/>
      <c r="G19" s="178"/>
      <c r="H19" s="178"/>
      <c r="I19" s="179"/>
      <c r="Q19" t="s">
        <v>144</v>
      </c>
      <c r="R19" s="89">
        <v>8.3333333333333329E-2</v>
      </c>
    </row>
    <row r="20" spans="2:20" x14ac:dyDescent="0.25">
      <c r="B20" s="183" t="s">
        <v>29</v>
      </c>
      <c r="C20" s="178"/>
      <c r="D20" s="178"/>
      <c r="E20" s="178"/>
      <c r="F20" s="178"/>
      <c r="G20" s="178"/>
      <c r="H20" s="178">
        <f>SUMIF(Meetings!F22:F37,"*Lapp*",Meetings!E22:E37)</f>
        <v>0</v>
      </c>
      <c r="I20" s="179">
        <f>SUM(C20:H21)</f>
        <v>0</v>
      </c>
      <c r="Q20" t="s">
        <v>166</v>
      </c>
      <c r="R20" s="89">
        <v>3.472222222222222E-3</v>
      </c>
    </row>
    <row r="21" spans="2:20" x14ac:dyDescent="0.25">
      <c r="B21" s="183"/>
      <c r="C21" s="178"/>
      <c r="D21" s="178"/>
      <c r="E21" s="178"/>
      <c r="F21" s="178"/>
      <c r="G21" s="178"/>
      <c r="H21" s="178"/>
      <c r="I21" s="179"/>
      <c r="Q21" t="s">
        <v>167</v>
      </c>
      <c r="R21" s="89">
        <v>6.9444444444444441E-3</v>
      </c>
    </row>
    <row r="22" spans="2:20" x14ac:dyDescent="0.25">
      <c r="B22" s="183" t="s">
        <v>30</v>
      </c>
      <c r="C22" s="178"/>
      <c r="D22" s="178"/>
      <c r="E22" s="178"/>
      <c r="F22" s="178"/>
      <c r="G22" s="178"/>
      <c r="H22" s="178">
        <f>SUMIF(Meetings!I22:I37,"*Lapp*",Meetings!H22:H37)</f>
        <v>0</v>
      </c>
      <c r="I22" s="179">
        <f>SUM(C22:H23)</f>
        <v>0</v>
      </c>
      <c r="Q22" t="s">
        <v>168</v>
      </c>
      <c r="R22" s="89">
        <v>6.9444444444444441E-3</v>
      </c>
    </row>
    <row r="23" spans="2:20" x14ac:dyDescent="0.25">
      <c r="B23" s="183"/>
      <c r="C23" s="178"/>
      <c r="D23" s="178"/>
      <c r="E23" s="178"/>
      <c r="F23" s="178"/>
      <c r="G23" s="178"/>
      <c r="H23" s="178"/>
      <c r="I23" s="179"/>
      <c r="Q23" t="s">
        <v>169</v>
      </c>
      <c r="R23" s="89">
        <v>6.9444444444444441E-3</v>
      </c>
    </row>
    <row r="24" spans="2:20" x14ac:dyDescent="0.25">
      <c r="B24" s="183" t="s">
        <v>31</v>
      </c>
      <c r="C24" s="178"/>
      <c r="D24" s="178"/>
      <c r="E24" s="178"/>
      <c r="F24" s="178"/>
      <c r="G24" s="178"/>
      <c r="H24" s="178">
        <f>SUMIF(Meetings!L22:L37,"*Lapp*",Meetings!K22:K37)</f>
        <v>0</v>
      </c>
      <c r="I24" s="179">
        <f>SUM(C24:H25)</f>
        <v>0</v>
      </c>
    </row>
    <row r="25" spans="2:20" x14ac:dyDescent="0.25">
      <c r="B25" s="183"/>
      <c r="C25" s="178"/>
      <c r="D25" s="178"/>
      <c r="E25" s="178"/>
      <c r="F25" s="178"/>
      <c r="G25" s="178"/>
      <c r="H25" s="178"/>
      <c r="I25" s="179"/>
    </row>
    <row r="26" spans="2:20" x14ac:dyDescent="0.25">
      <c r="B26" s="183" t="s">
        <v>32</v>
      </c>
      <c r="C26" s="178"/>
      <c r="D26" s="178"/>
      <c r="E26" s="178"/>
      <c r="F26" s="178"/>
      <c r="G26" s="178"/>
      <c r="H26" s="178">
        <f>SUMIF(Meetings!O22:O37,"*Lapp*",Meetings!N22:N37)</f>
        <v>0</v>
      </c>
      <c r="I26" s="179">
        <f>SUM(C26:H27)</f>
        <v>0</v>
      </c>
    </row>
    <row r="27" spans="2:20" x14ac:dyDescent="0.25">
      <c r="B27" s="183"/>
      <c r="C27" s="178"/>
      <c r="D27" s="178"/>
      <c r="E27" s="178"/>
      <c r="F27" s="178"/>
      <c r="G27" s="178"/>
      <c r="H27" s="178"/>
      <c r="I27" s="179"/>
    </row>
    <row r="28" spans="2:20" x14ac:dyDescent="0.25">
      <c r="B28" s="183" t="s">
        <v>33</v>
      </c>
      <c r="C28" s="178"/>
      <c r="D28" s="178"/>
      <c r="E28" s="178"/>
      <c r="F28" s="178"/>
      <c r="G28" s="178"/>
      <c r="H28" s="178">
        <f>SUMIF(Meetings!R22:R37,"*Lapp*",Meetings!Q22:Q37)</f>
        <v>0</v>
      </c>
      <c r="I28" s="179">
        <f>SUM(C28:H29)</f>
        <v>0</v>
      </c>
    </row>
    <row r="29" spans="2:20" x14ac:dyDescent="0.25">
      <c r="B29" s="183"/>
      <c r="C29" s="178"/>
      <c r="D29" s="178"/>
      <c r="E29" s="178"/>
      <c r="F29" s="178"/>
      <c r="G29" s="178"/>
      <c r="H29" s="178"/>
      <c r="I29" s="179"/>
    </row>
    <row r="30" spans="2:20" x14ac:dyDescent="0.25">
      <c r="B30" s="183" t="s">
        <v>34</v>
      </c>
      <c r="C30" s="178"/>
      <c r="D30" s="178"/>
      <c r="E30" s="178"/>
      <c r="F30" s="178"/>
      <c r="G30" s="178"/>
      <c r="H30" s="178">
        <f>SUMIF(Meetings!U22:U37,"*Lapp*",Meetings!T22:T37)</f>
        <v>0</v>
      </c>
      <c r="I30" s="179">
        <f>SUM(C30:H31)</f>
        <v>0</v>
      </c>
    </row>
    <row r="31" spans="2:20" ht="15.75" thickBot="1" x14ac:dyDescent="0.3">
      <c r="B31" s="183"/>
      <c r="C31" s="178"/>
      <c r="D31" s="178"/>
      <c r="E31" s="178"/>
      <c r="F31" s="178"/>
      <c r="G31" s="178"/>
      <c r="H31" s="178"/>
      <c r="I31" s="180"/>
    </row>
    <row r="32" spans="2:20" x14ac:dyDescent="0.25">
      <c r="B32" s="177" t="s">
        <v>43</v>
      </c>
      <c r="C32" s="179">
        <f>SUM(C4:C31)</f>
        <v>2.4201388888888888</v>
      </c>
      <c r="D32" s="179">
        <f t="shared" ref="D32:H32" si="0">SUM(D4:D31)</f>
        <v>0.22222222222222221</v>
      </c>
      <c r="E32" s="179">
        <f t="shared" si="0"/>
        <v>0.3125</v>
      </c>
      <c r="F32" s="179">
        <f t="shared" si="0"/>
        <v>0.73958333333333326</v>
      </c>
      <c r="G32" s="179">
        <f t="shared" si="0"/>
        <v>0.10763888888888888</v>
      </c>
      <c r="H32" s="184">
        <f t="shared" si="0"/>
        <v>0.78263888888888877</v>
      </c>
      <c r="I32" s="186">
        <f>SUM(C32:H33)</f>
        <v>4.5847222222222221</v>
      </c>
    </row>
    <row r="33" spans="2:9" ht="15.75" thickBot="1" x14ac:dyDescent="0.3">
      <c r="B33" s="177"/>
      <c r="C33" s="177"/>
      <c r="D33" s="177"/>
      <c r="E33" s="177"/>
      <c r="F33" s="177"/>
      <c r="G33" s="177"/>
      <c r="H33" s="185"/>
      <c r="I33" s="187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V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22" ht="26.25" x14ac:dyDescent="0.4">
      <c r="A1" s="175" t="s">
        <v>53</v>
      </c>
      <c r="B1" s="175"/>
      <c r="C1" s="175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5</v>
      </c>
      <c r="L3" s="62"/>
      <c r="M3" s="62" t="s">
        <v>4</v>
      </c>
      <c r="N3" s="62"/>
      <c r="O3" s="62" t="s">
        <v>3</v>
      </c>
      <c r="P3" s="62"/>
      <c r="Q3" s="62" t="s">
        <v>2</v>
      </c>
      <c r="R3" s="62"/>
      <c r="S3" s="62" t="s">
        <v>1</v>
      </c>
      <c r="T3" s="62"/>
      <c r="U3" s="50" t="s">
        <v>37</v>
      </c>
      <c r="V3" s="50"/>
    </row>
    <row r="4" spans="1:22" x14ac:dyDescent="0.25">
      <c r="B4" s="181" t="s">
        <v>37</v>
      </c>
      <c r="C4" s="171">
        <f>SUMIF(U:U,"*[Implementierung]*",V:V)</f>
        <v>0</v>
      </c>
      <c r="D4" s="171">
        <f>SUMIF(U:U,"*[Testen]*",V:V)</f>
        <v>0</v>
      </c>
      <c r="E4" s="171">
        <f>SUMIF(U:U,"*[Entwurf]*",V:V)</f>
        <v>0.10416666666666667</v>
      </c>
      <c r="F4" s="171">
        <f>SUMIF(U:U,"*[Recherche]*",V:V)</f>
        <v>0.16666666666666666</v>
      </c>
      <c r="G4" s="171">
        <f>SUMIF(U:U,"*[Organisation]*",V:V)</f>
        <v>0</v>
      </c>
      <c r="H4" s="171">
        <f>SUMIF(Meetings!C4:C19,"*Martschenko*",Meetings!B4:B19)</f>
        <v>0.29166666666666669</v>
      </c>
      <c r="I4" s="179">
        <f>SUM(C4:H5)</f>
        <v>0.5625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</row>
    <row r="5" spans="1:22" x14ac:dyDescent="0.25">
      <c r="B5" s="182"/>
      <c r="C5" s="171"/>
      <c r="D5" s="171"/>
      <c r="E5" s="171"/>
      <c r="F5" s="171"/>
      <c r="G5" s="171"/>
      <c r="H5" s="171"/>
      <c r="I5" s="179"/>
      <c r="K5" t="s">
        <v>278</v>
      </c>
      <c r="L5" s="89">
        <v>0.16666666666666666</v>
      </c>
      <c r="M5" t="s">
        <v>246</v>
      </c>
      <c r="N5" s="89">
        <v>0.10416666666666667</v>
      </c>
      <c r="O5" t="s">
        <v>219</v>
      </c>
      <c r="P5" s="89">
        <v>5.5555555555555552E-2</v>
      </c>
      <c r="Q5" t="s">
        <v>170</v>
      </c>
      <c r="R5" s="89">
        <v>0.14583333333333334</v>
      </c>
      <c r="S5" t="s">
        <v>121</v>
      </c>
      <c r="T5" s="89">
        <v>6.25E-2</v>
      </c>
      <c r="U5" s="2" t="s">
        <v>70</v>
      </c>
      <c r="V5" s="93">
        <v>0.16666666666666666</v>
      </c>
    </row>
    <row r="6" spans="1:22" x14ac:dyDescent="0.25">
      <c r="B6" s="183" t="s">
        <v>1</v>
      </c>
      <c r="C6" s="178">
        <f>SUMIF(S:S,"*[Implementierung]*",T:T)</f>
        <v>0.1875</v>
      </c>
      <c r="D6" s="178">
        <f>SUMIF(S:S,"*[Testen]*",T:T)</f>
        <v>0</v>
      </c>
      <c r="E6" s="178">
        <f>SUMIF(S:S,"*[Entwurf]*",T:T)</f>
        <v>2.0833333333333332E-2</v>
      </c>
      <c r="F6" s="178">
        <f>SUMIF(S:S,"*[Recherche]*",T:T)</f>
        <v>0</v>
      </c>
      <c r="G6" s="178">
        <f>SUMIF(S:S,"*[Organisation]*",T:T)</f>
        <v>0.20833333333333331</v>
      </c>
      <c r="H6" s="178">
        <f>SUMIF(Meetings!F4:F19,"*Martschenko*",Meetings!E4:E19)</f>
        <v>6.9444444444444448E-2</v>
      </c>
      <c r="I6" s="179">
        <f>SUM(C6:H7)</f>
        <v>0.48611111111111105</v>
      </c>
      <c r="K6" t="s">
        <v>279</v>
      </c>
      <c r="L6" s="89">
        <v>6.25E-2</v>
      </c>
      <c r="M6" t="s">
        <v>248</v>
      </c>
      <c r="N6" s="89">
        <v>0.16666666666666666</v>
      </c>
      <c r="O6" t="s">
        <v>220</v>
      </c>
      <c r="P6" s="89">
        <v>6.9444444444444441E-3</v>
      </c>
      <c r="Q6" t="s">
        <v>171</v>
      </c>
      <c r="R6" s="89">
        <v>2.0833333333333332E-2</v>
      </c>
      <c r="S6" t="s">
        <v>122</v>
      </c>
      <c r="T6" s="89">
        <v>0.16666666666666666</v>
      </c>
      <c r="U6" s="2" t="s">
        <v>71</v>
      </c>
      <c r="V6" s="93">
        <v>0.10416666666666667</v>
      </c>
    </row>
    <row r="7" spans="1:22" x14ac:dyDescent="0.25">
      <c r="B7" s="183"/>
      <c r="C7" s="178"/>
      <c r="D7" s="178"/>
      <c r="E7" s="178"/>
      <c r="F7" s="178"/>
      <c r="G7" s="178"/>
      <c r="H7" s="178"/>
      <c r="I7" s="179"/>
      <c r="K7" s="2" t="s">
        <v>233</v>
      </c>
      <c r="L7" s="89">
        <v>3.8194444444444441E-2</v>
      </c>
      <c r="M7" t="s">
        <v>254</v>
      </c>
      <c r="N7" s="89">
        <v>0.125</v>
      </c>
      <c r="O7" t="s">
        <v>221</v>
      </c>
      <c r="P7" s="89">
        <v>6.25E-2</v>
      </c>
      <c r="Q7" t="s">
        <v>172</v>
      </c>
      <c r="R7" s="89">
        <v>8.3333333333333329E-2</v>
      </c>
      <c r="S7" t="s">
        <v>106</v>
      </c>
      <c r="T7" s="89">
        <v>2.0833333333333332E-2</v>
      </c>
    </row>
    <row r="8" spans="1:22" x14ac:dyDescent="0.25">
      <c r="B8" s="183" t="s">
        <v>2</v>
      </c>
      <c r="C8" s="178">
        <f>SUMIF(Q:Q,"*[Implementierung]*",R:R)</f>
        <v>0.36458333333333337</v>
      </c>
      <c r="D8" s="178">
        <f>SUMIF(Q:Q,"*[Testen]*",R:R)</f>
        <v>1.0416666666666666E-2</v>
      </c>
      <c r="E8" s="178">
        <f>SUMIF(Q:Q,"*[Entwurf]*",R:R)</f>
        <v>0.45833333333333337</v>
      </c>
      <c r="F8" s="178">
        <f>SUMIF(Q:Q,"*[Recherche]*",R:R)</f>
        <v>0</v>
      </c>
      <c r="G8" s="178">
        <f>SUMIF(Q:Q,"*[Organisation]*",R:R)</f>
        <v>4.8611111111111105E-2</v>
      </c>
      <c r="H8" s="178">
        <f>SUMIF(Meetings!I4:I19,"*Martschenko*",Meetings!H4:H19)</f>
        <v>0.14027777777777778</v>
      </c>
      <c r="I8" s="179">
        <f>SUM(C8:H9)</f>
        <v>1.0222222222222224</v>
      </c>
      <c r="K8" s="2" t="s">
        <v>233</v>
      </c>
      <c r="L8" s="89">
        <v>3.8194444444444441E-2</v>
      </c>
      <c r="M8" s="111" t="s">
        <v>266</v>
      </c>
      <c r="N8" s="89">
        <v>2.7777777777777776E-2</v>
      </c>
      <c r="O8" t="s">
        <v>222</v>
      </c>
      <c r="P8" s="89">
        <v>0.10416666666666667</v>
      </c>
      <c r="Q8" t="s">
        <v>173</v>
      </c>
      <c r="R8" s="89">
        <v>6.25E-2</v>
      </c>
      <c r="S8" t="s">
        <v>123</v>
      </c>
      <c r="T8" s="89">
        <v>6.25E-2</v>
      </c>
    </row>
    <row r="9" spans="1:22" x14ac:dyDescent="0.25">
      <c r="B9" s="183"/>
      <c r="C9" s="178"/>
      <c r="D9" s="178"/>
      <c r="E9" s="178"/>
      <c r="F9" s="178"/>
      <c r="G9" s="178"/>
      <c r="H9" s="178"/>
      <c r="I9" s="179"/>
      <c r="M9" s="2" t="s">
        <v>233</v>
      </c>
      <c r="N9" s="89">
        <v>4.8611111111111112E-2</v>
      </c>
      <c r="O9" t="s">
        <v>223</v>
      </c>
      <c r="P9" s="89">
        <v>6.25E-2</v>
      </c>
      <c r="Q9" t="s">
        <v>174</v>
      </c>
      <c r="R9" s="89">
        <v>6.25E-2</v>
      </c>
      <c r="S9" t="s">
        <v>124</v>
      </c>
      <c r="T9" s="89">
        <v>2.0833333333333332E-2</v>
      </c>
    </row>
    <row r="10" spans="1:22" x14ac:dyDescent="0.25">
      <c r="B10" s="183" t="s">
        <v>3</v>
      </c>
      <c r="C10" s="178">
        <f>SUMIF(O:O,"*[Implementierung]*",P:P)</f>
        <v>0.2361111111111111</v>
      </c>
      <c r="D10" s="178">
        <f>SUMIF(O:O,"*[Testen]*",P:P)</f>
        <v>2.0833333333333332E-2</v>
      </c>
      <c r="E10" s="178">
        <f>SUMIF(O:O,"*[Entwurf]*",P:P)</f>
        <v>0</v>
      </c>
      <c r="F10" s="178">
        <f>SUMIF(O:O,"*[Recherche]*",P:P)</f>
        <v>0.10416666666666667</v>
      </c>
      <c r="G10" s="178">
        <f>SUMIF(O:O,"*[Organisation]*",P:P)</f>
        <v>5.5555555555555552E-2</v>
      </c>
      <c r="H10" s="178">
        <f>SUMIF(Meetings!L4:L19,"*Martschenko*",Meetings!K4:K19)</f>
        <v>8.6805555555555552E-2</v>
      </c>
      <c r="I10" s="179">
        <f>SUM(C10:H11)</f>
        <v>0.50347222222222221</v>
      </c>
      <c r="M10" s="36" t="s">
        <v>261</v>
      </c>
      <c r="N10" s="89">
        <v>2.0833333333333332E-2</v>
      </c>
      <c r="O10" t="s">
        <v>224</v>
      </c>
      <c r="P10" s="89">
        <v>0.10416666666666667</v>
      </c>
      <c r="Q10" t="s">
        <v>175</v>
      </c>
      <c r="R10" s="89">
        <v>6.9444444444444441E-3</v>
      </c>
      <c r="S10" t="s">
        <v>125</v>
      </c>
      <c r="T10" s="49">
        <v>8.3333333333333329E-2</v>
      </c>
    </row>
    <row r="11" spans="1:22" x14ac:dyDescent="0.25">
      <c r="B11" s="183"/>
      <c r="C11" s="178"/>
      <c r="D11" s="178"/>
      <c r="E11" s="178"/>
      <c r="F11" s="178"/>
      <c r="G11" s="178"/>
      <c r="H11" s="178"/>
      <c r="I11" s="179"/>
      <c r="M11" s="36" t="s">
        <v>254</v>
      </c>
      <c r="N11" s="89">
        <v>2.0833333333333332E-2</v>
      </c>
      <c r="O11" t="s">
        <v>225</v>
      </c>
      <c r="P11" s="89">
        <v>2.0833333333333332E-2</v>
      </c>
      <c r="Q11" t="s">
        <v>176</v>
      </c>
      <c r="R11" s="89">
        <v>1.0416666666666666E-2</v>
      </c>
    </row>
    <row r="12" spans="1:22" x14ac:dyDescent="0.25">
      <c r="B12" s="183" t="s">
        <v>4</v>
      </c>
      <c r="C12" s="178">
        <f>SUMIF(M:M,"*[Implementierung]*",N:N)</f>
        <v>0.33333333333333326</v>
      </c>
      <c r="D12" s="178">
        <f>SUMIF(M:M,"*[Testen]*",N:N)</f>
        <v>4.8611111111111112E-2</v>
      </c>
      <c r="E12" s="178">
        <f>SUMIF(M:M,"*[Entwurf]*",N:N)</f>
        <v>2.7777777777777776E-2</v>
      </c>
      <c r="F12" s="178">
        <f>SUMIF(M:M,"*[Recherche]*",N:N)</f>
        <v>0.10416666666666667</v>
      </c>
      <c r="G12" s="178">
        <f>SUMIF(M:M,"*[Organisation]*",N:N)</f>
        <v>0</v>
      </c>
      <c r="H12" s="178">
        <f>SUMIF(Meetings!O4:O19,"*Martschenko*",Meetings!N4:N19)</f>
        <v>8.1249999999999989E-2</v>
      </c>
      <c r="I12" s="179">
        <f>SUM(C12:H13)</f>
        <v>0.59513888888888888</v>
      </c>
      <c r="Q12" t="s">
        <v>177</v>
      </c>
      <c r="R12" s="89">
        <v>2.0833333333333332E-2</v>
      </c>
    </row>
    <row r="13" spans="1:22" x14ac:dyDescent="0.25">
      <c r="B13" s="183"/>
      <c r="C13" s="178"/>
      <c r="D13" s="178"/>
      <c r="E13" s="178"/>
      <c r="F13" s="178"/>
      <c r="G13" s="178"/>
      <c r="H13" s="178"/>
      <c r="I13" s="179"/>
      <c r="Q13" s="16" t="s">
        <v>178</v>
      </c>
    </row>
    <row r="14" spans="1:22" x14ac:dyDescent="0.25">
      <c r="B14" s="183" t="s">
        <v>5</v>
      </c>
      <c r="C14" s="178">
        <f>SUMIF(K:K,"*[Implementierung]*",L:L)</f>
        <v>0.22916666666666666</v>
      </c>
      <c r="D14" s="178">
        <f>SUMIF(K:K,"*[Testen]*",L:L)</f>
        <v>7.6388888888888881E-2</v>
      </c>
      <c r="E14" s="178">
        <f>SUMIF(K:K,"*[Entwurf]*",L:L)</f>
        <v>0</v>
      </c>
      <c r="F14" s="178">
        <f>SUMIF(K:K,"*[Recherche]*",L:L)</f>
        <v>0</v>
      </c>
      <c r="G14" s="178">
        <f>SUMIF(K:K,"*[Organisation]*",L:L)</f>
        <v>0</v>
      </c>
      <c r="H14" s="178">
        <f>SUMIF(Meetings!R4:R19,"*Martschenko*",Meetings!Q4:Q19)</f>
        <v>0.10069444444444445</v>
      </c>
      <c r="I14" s="179">
        <f>SUM(C14:H15)</f>
        <v>0.40625</v>
      </c>
      <c r="Q14" s="95" t="s">
        <v>179</v>
      </c>
      <c r="R14" s="89">
        <v>0.125</v>
      </c>
    </row>
    <row r="15" spans="1:22" x14ac:dyDescent="0.25">
      <c r="B15" s="183"/>
      <c r="C15" s="178"/>
      <c r="D15" s="178"/>
      <c r="E15" s="178"/>
      <c r="F15" s="178"/>
      <c r="G15" s="178"/>
      <c r="H15" s="178"/>
      <c r="I15" s="179"/>
      <c r="Q15" s="95" t="s">
        <v>180</v>
      </c>
      <c r="R15" s="89">
        <v>0.20833333333333334</v>
      </c>
    </row>
    <row r="16" spans="1:22" x14ac:dyDescent="0.25">
      <c r="B16" s="183" t="s">
        <v>6</v>
      </c>
      <c r="C16" s="178"/>
      <c r="D16" s="178"/>
      <c r="E16" s="178"/>
      <c r="F16" s="178"/>
      <c r="G16" s="178"/>
      <c r="H16" s="178">
        <f>SUMIF(Meetings!U4:U19,"*Martschenko*",Meetings!T4:T19)</f>
        <v>0</v>
      </c>
      <c r="I16" s="179">
        <f>SUM(C16:H17)</f>
        <v>0</v>
      </c>
      <c r="Q16" s="95" t="s">
        <v>181</v>
      </c>
      <c r="R16" s="89">
        <v>8.3333333333333329E-2</v>
      </c>
    </row>
    <row r="17" spans="2:18" x14ac:dyDescent="0.25">
      <c r="B17" s="183"/>
      <c r="C17" s="178"/>
      <c r="D17" s="178"/>
      <c r="E17" s="178"/>
      <c r="F17" s="178"/>
      <c r="G17" s="178"/>
      <c r="H17" s="178"/>
      <c r="I17" s="179"/>
      <c r="Q17" s="95" t="s">
        <v>182</v>
      </c>
      <c r="R17" s="89">
        <v>4.1666666666666664E-2</v>
      </c>
    </row>
    <row r="18" spans="2:18" x14ac:dyDescent="0.25">
      <c r="B18" s="183" t="s">
        <v>28</v>
      </c>
      <c r="C18" s="178"/>
      <c r="D18" s="178"/>
      <c r="E18" s="178"/>
      <c r="F18" s="178"/>
      <c r="G18" s="178"/>
      <c r="H18" s="178">
        <f>SUMIF(Meetings!C22:C37,"*Martschenko*",Meetings!B22:B37)</f>
        <v>0</v>
      </c>
      <c r="I18" s="179">
        <f>SUM(C18:H19)</f>
        <v>0</v>
      </c>
      <c r="Q18" t="s">
        <v>183</v>
      </c>
      <c r="R18" s="89">
        <v>1.0416666666666666E-2</v>
      </c>
    </row>
    <row r="19" spans="2:18" x14ac:dyDescent="0.25">
      <c r="B19" s="183"/>
      <c r="C19" s="178"/>
      <c r="D19" s="178"/>
      <c r="E19" s="178"/>
      <c r="F19" s="178"/>
      <c r="G19" s="178"/>
      <c r="H19" s="178"/>
      <c r="I19" s="179"/>
    </row>
    <row r="20" spans="2:18" x14ac:dyDescent="0.25">
      <c r="B20" s="183" t="s">
        <v>29</v>
      </c>
      <c r="C20" s="178"/>
      <c r="D20" s="178"/>
      <c r="E20" s="178"/>
      <c r="F20" s="178"/>
      <c r="G20" s="178"/>
      <c r="H20" s="178">
        <f>SUMIF(Meetings!F22:F37,"*Martschenko*",Meetings!E22:E37)</f>
        <v>0</v>
      </c>
      <c r="I20" s="179">
        <f>SUM(C20:H21)</f>
        <v>0</v>
      </c>
    </row>
    <row r="21" spans="2:18" x14ac:dyDescent="0.25">
      <c r="B21" s="183"/>
      <c r="C21" s="178"/>
      <c r="D21" s="178"/>
      <c r="E21" s="178"/>
      <c r="F21" s="178"/>
      <c r="G21" s="178"/>
      <c r="H21" s="178"/>
      <c r="I21" s="179"/>
    </row>
    <row r="22" spans="2:18" x14ac:dyDescent="0.25">
      <c r="B22" s="183" t="s">
        <v>30</v>
      </c>
      <c r="C22" s="178"/>
      <c r="D22" s="178"/>
      <c r="E22" s="178"/>
      <c r="F22" s="178"/>
      <c r="G22" s="178"/>
      <c r="H22" s="178">
        <f>SUMIF(Meetings!I22:I37,"*Martschenko*",Meetings!H22:H37)</f>
        <v>0</v>
      </c>
      <c r="I22" s="179">
        <f>SUM(C22:H23)</f>
        <v>0</v>
      </c>
    </row>
    <row r="23" spans="2:18" x14ac:dyDescent="0.25">
      <c r="B23" s="183"/>
      <c r="C23" s="178"/>
      <c r="D23" s="178"/>
      <c r="E23" s="178"/>
      <c r="F23" s="178"/>
      <c r="G23" s="178"/>
      <c r="H23" s="178"/>
      <c r="I23" s="179"/>
    </row>
    <row r="24" spans="2:18" x14ac:dyDescent="0.25">
      <c r="B24" s="183" t="s">
        <v>31</v>
      </c>
      <c r="C24" s="178"/>
      <c r="D24" s="178"/>
      <c r="E24" s="178"/>
      <c r="F24" s="178"/>
      <c r="G24" s="178"/>
      <c r="H24" s="178">
        <f>SUMIF(Meetings!L22:L37,"*Martschenko*",Meetings!K22:K37)</f>
        <v>0</v>
      </c>
      <c r="I24" s="179">
        <f>SUM(C24:H25)</f>
        <v>0</v>
      </c>
    </row>
    <row r="25" spans="2:18" x14ac:dyDescent="0.25">
      <c r="B25" s="183"/>
      <c r="C25" s="178"/>
      <c r="D25" s="178"/>
      <c r="E25" s="178"/>
      <c r="F25" s="178"/>
      <c r="G25" s="178"/>
      <c r="H25" s="178"/>
      <c r="I25" s="179"/>
    </row>
    <row r="26" spans="2:18" x14ac:dyDescent="0.25">
      <c r="B26" s="183" t="s">
        <v>32</v>
      </c>
      <c r="C26" s="178"/>
      <c r="D26" s="178"/>
      <c r="E26" s="178"/>
      <c r="F26" s="178"/>
      <c r="G26" s="178"/>
      <c r="H26" s="178">
        <f>SUMIF(Meetings!O22:O37,"*Martschenko*",Meetings!N22:N37)</f>
        <v>0</v>
      </c>
      <c r="I26" s="179">
        <f>SUM(C26:H27)</f>
        <v>0</v>
      </c>
    </row>
    <row r="27" spans="2:18" x14ac:dyDescent="0.25">
      <c r="B27" s="183"/>
      <c r="C27" s="178"/>
      <c r="D27" s="178"/>
      <c r="E27" s="178"/>
      <c r="F27" s="178"/>
      <c r="G27" s="178"/>
      <c r="H27" s="178"/>
      <c r="I27" s="179"/>
    </row>
    <row r="28" spans="2:18" x14ac:dyDescent="0.25">
      <c r="B28" s="183" t="s">
        <v>33</v>
      </c>
      <c r="C28" s="178"/>
      <c r="D28" s="178"/>
      <c r="E28" s="178"/>
      <c r="F28" s="178"/>
      <c r="G28" s="178"/>
      <c r="H28" s="178">
        <f>SUMIF(Meetings!R22:R37,"*Martschenko*",Meetings!Q22:Q37)</f>
        <v>0</v>
      </c>
      <c r="I28" s="179">
        <f>SUM(C28:H29)</f>
        <v>0</v>
      </c>
    </row>
    <row r="29" spans="2:18" x14ac:dyDescent="0.25">
      <c r="B29" s="183"/>
      <c r="C29" s="178"/>
      <c r="D29" s="178"/>
      <c r="E29" s="178"/>
      <c r="F29" s="178"/>
      <c r="G29" s="178"/>
      <c r="H29" s="178"/>
      <c r="I29" s="179"/>
    </row>
    <row r="30" spans="2:18" x14ac:dyDescent="0.25">
      <c r="B30" s="183" t="s">
        <v>34</v>
      </c>
      <c r="C30" s="178"/>
      <c r="D30" s="178"/>
      <c r="E30" s="178"/>
      <c r="F30" s="178"/>
      <c r="G30" s="178"/>
      <c r="H30" s="178">
        <f>SUMIF(Meetings!U22:U37,"*Martschenko*",Meetings!T22:T37)</f>
        <v>0</v>
      </c>
      <c r="I30" s="179">
        <f>SUM(C30:H31)</f>
        <v>0</v>
      </c>
    </row>
    <row r="31" spans="2:18" ht="15.75" thickBot="1" x14ac:dyDescent="0.3">
      <c r="B31" s="183"/>
      <c r="C31" s="178"/>
      <c r="D31" s="178"/>
      <c r="E31" s="178"/>
      <c r="F31" s="178"/>
      <c r="G31" s="178"/>
      <c r="H31" s="178"/>
      <c r="I31" s="180"/>
    </row>
    <row r="32" spans="2:18" x14ac:dyDescent="0.25">
      <c r="B32" s="177" t="s">
        <v>43</v>
      </c>
      <c r="C32" s="179">
        <f>SUM(C4:C31)</f>
        <v>1.3506944444444444</v>
      </c>
      <c r="D32" s="179">
        <f t="shared" ref="D32:H32" si="0">SUM(D4:D31)</f>
        <v>0.15625</v>
      </c>
      <c r="E32" s="179">
        <f t="shared" si="0"/>
        <v>0.61111111111111116</v>
      </c>
      <c r="F32" s="179">
        <f t="shared" si="0"/>
        <v>0.375</v>
      </c>
      <c r="G32" s="179">
        <f t="shared" si="0"/>
        <v>0.3125</v>
      </c>
      <c r="H32" s="184">
        <f t="shared" si="0"/>
        <v>0.77013888888888893</v>
      </c>
      <c r="I32" s="186">
        <f>SUM(C32:H33)</f>
        <v>3.5756944444444443</v>
      </c>
    </row>
    <row r="33" spans="2:9" ht="15.75" thickBot="1" x14ac:dyDescent="0.3">
      <c r="B33" s="177"/>
      <c r="C33" s="177"/>
      <c r="D33" s="177"/>
      <c r="E33" s="177"/>
      <c r="F33" s="177"/>
      <c r="G33" s="177"/>
      <c r="H33" s="185"/>
      <c r="I33" s="187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V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22" ht="26.25" x14ac:dyDescent="0.4">
      <c r="A1" s="175" t="s">
        <v>52</v>
      </c>
      <c r="B1" s="175"/>
      <c r="C1" s="175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5</v>
      </c>
      <c r="L3" s="62"/>
      <c r="M3" s="62" t="s">
        <v>4</v>
      </c>
      <c r="N3" s="62"/>
      <c r="O3" s="62" t="s">
        <v>3</v>
      </c>
      <c r="P3" s="62"/>
      <c r="Q3" s="62" t="s">
        <v>2</v>
      </c>
      <c r="R3" s="62"/>
      <c r="S3" s="62" t="s">
        <v>1</v>
      </c>
      <c r="T3" s="62"/>
      <c r="U3" s="50" t="s">
        <v>37</v>
      </c>
      <c r="V3" s="50"/>
    </row>
    <row r="4" spans="1:22" x14ac:dyDescent="0.25">
      <c r="B4" s="181" t="s">
        <v>37</v>
      </c>
      <c r="C4" s="171">
        <f>SUMIF(U:U,"*[Implementierung]*",V:V)</f>
        <v>0</v>
      </c>
      <c r="D4" s="171">
        <f>SUMIF(U:U,"*[Testen]*",V:V)</f>
        <v>0</v>
      </c>
      <c r="E4" s="171">
        <f>SUMIF(U:U,"*[Entwurf]*",V:V)</f>
        <v>0</v>
      </c>
      <c r="F4" s="171">
        <f>SUMIF(U:U,"*[Recherche]*",V:V)</f>
        <v>0.20833333333333334</v>
      </c>
      <c r="G4" s="171">
        <f>SUMIF(U:U,"*[Organisation]*",V:V)</f>
        <v>0</v>
      </c>
      <c r="H4" s="171">
        <f>SUMIF(Meetings!C4:C19,"*Soboth*",Meetings!B4:B19)</f>
        <v>0.29166666666666669</v>
      </c>
      <c r="I4" s="179">
        <f>SUM(C4:H5)</f>
        <v>0.5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</row>
    <row r="5" spans="1:22" x14ac:dyDescent="0.25">
      <c r="B5" s="182"/>
      <c r="C5" s="171"/>
      <c r="D5" s="171"/>
      <c r="E5" s="171"/>
      <c r="F5" s="171"/>
      <c r="G5" s="171"/>
      <c r="H5" s="171"/>
      <c r="I5" s="179"/>
      <c r="M5" t="s">
        <v>256</v>
      </c>
      <c r="N5" s="89">
        <v>0.15277777777777776</v>
      </c>
      <c r="O5" t="s">
        <v>226</v>
      </c>
      <c r="P5" s="89">
        <v>0.16666666666666666</v>
      </c>
      <c r="Q5" t="s">
        <v>147</v>
      </c>
      <c r="R5" s="89">
        <v>0.125</v>
      </c>
      <c r="S5" t="s">
        <v>109</v>
      </c>
      <c r="T5" s="89">
        <v>8.3333333333333329E-2</v>
      </c>
      <c r="U5" s="2" t="s">
        <v>72</v>
      </c>
      <c r="V5" s="93">
        <v>0.10416666666666667</v>
      </c>
    </row>
    <row r="6" spans="1:22" x14ac:dyDescent="0.25">
      <c r="B6" s="183" t="s">
        <v>1</v>
      </c>
      <c r="C6" s="178">
        <f>SUMIF(S:S,"*[Implementierung]*",T:T)</f>
        <v>7.2916666666666671E-2</v>
      </c>
      <c r="D6" s="178">
        <f>SUMIF(S:S,"*[Testen]*",T:T)</f>
        <v>0</v>
      </c>
      <c r="E6" s="178">
        <f>SUMIF(S:S,"*[Entwurf]*",T:T)</f>
        <v>0.1388888888888889</v>
      </c>
      <c r="F6" s="178">
        <f>SUMIF(S:S,"*[Recherche]*",T:T)</f>
        <v>0.22916666666666669</v>
      </c>
      <c r="G6" s="178">
        <f>SUMIF(S:S,"*[Organisation]*",T:T)</f>
        <v>3.125E-2</v>
      </c>
      <c r="H6" s="178">
        <f>SUMIF(Meetings!F4:F19,"*Soboth*",Meetings!E4:E19)</f>
        <v>6.9444444444444448E-2</v>
      </c>
      <c r="I6" s="179">
        <f>SUM(C6:H7)</f>
        <v>0.54166666666666674</v>
      </c>
      <c r="M6" t="s">
        <v>260</v>
      </c>
      <c r="N6" s="89">
        <v>0.14583333333333334</v>
      </c>
      <c r="O6" t="s">
        <v>208</v>
      </c>
      <c r="P6" s="89">
        <v>0.1875</v>
      </c>
      <c r="Q6" t="s">
        <v>184</v>
      </c>
      <c r="R6" s="89">
        <v>5.2083333333333336E-2</v>
      </c>
      <c r="S6" t="s">
        <v>126</v>
      </c>
      <c r="T6" s="89">
        <v>0.14583333333333334</v>
      </c>
      <c r="U6" s="2" t="s">
        <v>73</v>
      </c>
      <c r="V6" s="93">
        <v>0.10416666666666667</v>
      </c>
    </row>
    <row r="7" spans="1:22" x14ac:dyDescent="0.25">
      <c r="B7" s="183"/>
      <c r="C7" s="178"/>
      <c r="D7" s="178"/>
      <c r="E7" s="178"/>
      <c r="F7" s="178"/>
      <c r="G7" s="178"/>
      <c r="H7" s="178"/>
      <c r="I7" s="179"/>
      <c r="M7" t="s">
        <v>255</v>
      </c>
      <c r="N7" s="89">
        <v>7.2916666666666671E-2</v>
      </c>
      <c r="O7" t="s">
        <v>209</v>
      </c>
      <c r="P7" s="89">
        <v>0.12152777777777778</v>
      </c>
      <c r="Q7" s="94" t="s">
        <v>148</v>
      </c>
      <c r="S7" t="s">
        <v>127</v>
      </c>
      <c r="T7" s="89">
        <v>8.3333333333333329E-2</v>
      </c>
    </row>
    <row r="8" spans="1:22" x14ac:dyDescent="0.25">
      <c r="B8" s="183" t="s">
        <v>2</v>
      </c>
      <c r="C8" s="178">
        <f>SUMIF(Q:Q,"*[Implementierung]*",R:R)</f>
        <v>0.21527777777777779</v>
      </c>
      <c r="D8" s="178">
        <f>SUMIF(Q:Q,"*[Testen]*",R:R)</f>
        <v>0</v>
      </c>
      <c r="E8" s="178">
        <f>SUMIF(Q:Q,"*[Entwurf]*",R:R)</f>
        <v>5.2083333333333336E-2</v>
      </c>
      <c r="F8" s="178">
        <f>SUMIF(Q:Q,"*[Recherche]*",R:R)</f>
        <v>0.125</v>
      </c>
      <c r="G8" s="178">
        <f>SUMIF(Q:Q,"*[Organisation]*",R:R)</f>
        <v>0</v>
      </c>
      <c r="H8" s="178">
        <f>SUMIF(Meetings!I4:I19,"*Soboth*",Meetings!H4:H19)</f>
        <v>6.9444444444444434E-2</v>
      </c>
      <c r="I8" s="179">
        <f>SUM(C8:H9)</f>
        <v>0.46180555555555552</v>
      </c>
      <c r="O8" t="s">
        <v>210</v>
      </c>
      <c r="P8" s="89">
        <v>9.0277777777777776E-2</v>
      </c>
      <c r="Q8" s="95" t="s">
        <v>149</v>
      </c>
      <c r="R8" s="89">
        <v>1.3888888888888888E-2</v>
      </c>
      <c r="S8" t="s">
        <v>128</v>
      </c>
      <c r="T8" s="89">
        <v>5.5555555555555552E-2</v>
      </c>
    </row>
    <row r="9" spans="1:22" x14ac:dyDescent="0.25">
      <c r="B9" s="183"/>
      <c r="C9" s="178"/>
      <c r="D9" s="178"/>
      <c r="E9" s="178"/>
      <c r="F9" s="178"/>
      <c r="G9" s="178"/>
      <c r="H9" s="178"/>
      <c r="I9" s="179"/>
      <c r="Q9" s="95" t="s">
        <v>150</v>
      </c>
      <c r="R9" s="89">
        <v>3.4722222222222224E-2</v>
      </c>
      <c r="S9" t="s">
        <v>129</v>
      </c>
      <c r="T9" s="89">
        <v>7.2916666666666671E-2</v>
      </c>
    </row>
    <row r="10" spans="1:22" x14ac:dyDescent="0.25">
      <c r="B10" s="183" t="s">
        <v>3</v>
      </c>
      <c r="C10" s="178">
        <f>SUMIF(O:O,"*[Implementierung]*",P:P)</f>
        <v>0.28819444444444442</v>
      </c>
      <c r="D10" s="178">
        <f>SUMIF(O:O,"*[Testen]*",P:P)</f>
        <v>0</v>
      </c>
      <c r="E10" s="178">
        <f>SUMIF(O:O,"*[Entwurf]*",P:P)</f>
        <v>0</v>
      </c>
      <c r="F10" s="178">
        <f>SUMIF(O:O,"*[Recherche]*",P:P)</f>
        <v>9.0277777777777776E-2</v>
      </c>
      <c r="G10" s="178">
        <f>SUMIF(O:O,"*[Organisation]*",P:P)</f>
        <v>0.1875</v>
      </c>
      <c r="H10" s="178">
        <f>SUMIF(Meetings!L4:L19,"*Soboth*",Meetings!K4:K19)</f>
        <v>6.5972222222222224E-2</v>
      </c>
      <c r="I10" s="179">
        <f>SUM(C10:H11)</f>
        <v>0.63194444444444442</v>
      </c>
      <c r="Q10" s="95" t="s">
        <v>149</v>
      </c>
      <c r="R10" s="89">
        <v>1.0416666666666666E-2</v>
      </c>
      <c r="S10" t="s">
        <v>130</v>
      </c>
      <c r="T10" s="89">
        <v>3.125E-2</v>
      </c>
    </row>
    <row r="11" spans="1:22" x14ac:dyDescent="0.25">
      <c r="B11" s="183"/>
      <c r="C11" s="178"/>
      <c r="D11" s="178"/>
      <c r="E11" s="178"/>
      <c r="F11" s="178"/>
      <c r="G11" s="178"/>
      <c r="H11" s="178"/>
      <c r="I11" s="179"/>
      <c r="Q11" s="95" t="s">
        <v>151</v>
      </c>
      <c r="R11" s="89">
        <v>5.2083333333333336E-2</v>
      </c>
    </row>
    <row r="12" spans="1:22" x14ac:dyDescent="0.25">
      <c r="B12" s="183" t="s">
        <v>4</v>
      </c>
      <c r="C12" s="178">
        <f>SUMIF(M:M,"*[Implementierung]*",N:N)</f>
        <v>0.15277777777777776</v>
      </c>
      <c r="D12" s="178">
        <f>SUMIF(M:M,"*[Testen]*",N:N)</f>
        <v>0</v>
      </c>
      <c r="E12" s="178">
        <f>SUMIF(M:M,"*[Entwurf]*",N:N)</f>
        <v>0.14583333333333334</v>
      </c>
      <c r="F12" s="178">
        <f>SUMIF(M:M,"*[Recherche]*",N:N)</f>
        <v>0</v>
      </c>
      <c r="G12" s="178">
        <f>SUMIF(M:M,"*[Organisation]*",N:N)</f>
        <v>7.2916666666666671E-2</v>
      </c>
      <c r="H12" s="178">
        <f>SUMIF(Meetings!O4:O19,"*Soboth*",Meetings!N4:N19)</f>
        <v>3.125E-2</v>
      </c>
      <c r="I12" s="179">
        <f>SUM(C12:H13)</f>
        <v>0.40277777777777779</v>
      </c>
      <c r="Q12" s="95" t="s">
        <v>152</v>
      </c>
      <c r="R12" s="89">
        <v>0.10416666666666667</v>
      </c>
    </row>
    <row r="13" spans="1:22" x14ac:dyDescent="0.25">
      <c r="B13" s="183"/>
      <c r="C13" s="178"/>
      <c r="D13" s="178"/>
      <c r="E13" s="178"/>
      <c r="F13" s="178"/>
      <c r="G13" s="178"/>
      <c r="H13" s="178"/>
      <c r="I13" s="179"/>
    </row>
    <row r="14" spans="1:22" x14ac:dyDescent="0.25">
      <c r="B14" s="183" t="s">
        <v>5</v>
      </c>
      <c r="C14" s="178">
        <f>SUMIF(K:K,"*[Implementierung]*",L:L)</f>
        <v>0</v>
      </c>
      <c r="D14" s="178">
        <f>SUMIF(K:K,"*[Testen]*",L:L)</f>
        <v>0</v>
      </c>
      <c r="E14" s="178">
        <f>SUMIF(K:K,"*[Entwurf]*",L:L)</f>
        <v>0</v>
      </c>
      <c r="F14" s="178">
        <f>SUMIF(K:K,"*[Recherche]*",L:L)</f>
        <v>0</v>
      </c>
      <c r="G14" s="178">
        <f>SUMIF(K:K,"*[Organisation]*",L:L)</f>
        <v>0</v>
      </c>
      <c r="H14" s="178">
        <f>SUMIF(Meetings!R4:R19,"*Soboth*",Meetings!Q4:Q19)</f>
        <v>3.125E-2</v>
      </c>
      <c r="I14" s="179">
        <f>SUM(C14:H15)</f>
        <v>3.125E-2</v>
      </c>
    </row>
    <row r="15" spans="1:22" x14ac:dyDescent="0.25">
      <c r="B15" s="183"/>
      <c r="C15" s="178"/>
      <c r="D15" s="178"/>
      <c r="E15" s="178"/>
      <c r="F15" s="178"/>
      <c r="G15" s="178"/>
      <c r="H15" s="178"/>
      <c r="I15" s="179"/>
    </row>
    <row r="16" spans="1:22" x14ac:dyDescent="0.25">
      <c r="B16" s="183" t="s">
        <v>6</v>
      </c>
      <c r="C16" s="178"/>
      <c r="D16" s="178"/>
      <c r="E16" s="178"/>
      <c r="F16" s="178"/>
      <c r="G16" s="178"/>
      <c r="H16" s="178">
        <f>SUMIF(Meetings!U4:U19,"*Soboth*",Meetings!T4:T19)</f>
        <v>0</v>
      </c>
      <c r="I16" s="179">
        <f>SUM(C16:H17)</f>
        <v>0</v>
      </c>
    </row>
    <row r="17" spans="2:9" x14ac:dyDescent="0.25">
      <c r="B17" s="183"/>
      <c r="C17" s="178"/>
      <c r="D17" s="178"/>
      <c r="E17" s="178"/>
      <c r="F17" s="178"/>
      <c r="G17" s="178"/>
      <c r="H17" s="178"/>
      <c r="I17" s="179"/>
    </row>
    <row r="18" spans="2:9" x14ac:dyDescent="0.25">
      <c r="B18" s="183" t="s">
        <v>28</v>
      </c>
      <c r="C18" s="178"/>
      <c r="D18" s="178"/>
      <c r="E18" s="178"/>
      <c r="F18" s="178"/>
      <c r="G18" s="178"/>
      <c r="H18" s="178">
        <f>SUMIF(Meetings!C22:C37,"*Soboth*",Meetings!B22:B37)</f>
        <v>0</v>
      </c>
      <c r="I18" s="179">
        <f>SUM(C18:H19)</f>
        <v>0</v>
      </c>
    </row>
    <row r="19" spans="2:9" x14ac:dyDescent="0.25">
      <c r="B19" s="183"/>
      <c r="C19" s="178"/>
      <c r="D19" s="178"/>
      <c r="E19" s="178"/>
      <c r="F19" s="178"/>
      <c r="G19" s="178"/>
      <c r="H19" s="178"/>
      <c r="I19" s="179"/>
    </row>
    <row r="20" spans="2:9" x14ac:dyDescent="0.25">
      <c r="B20" s="183" t="s">
        <v>29</v>
      </c>
      <c r="C20" s="178"/>
      <c r="D20" s="178"/>
      <c r="E20" s="178"/>
      <c r="F20" s="178"/>
      <c r="G20" s="178"/>
      <c r="H20" s="178">
        <f>SUMIF(Meetings!F22:F37,"*Soboth*",Meetings!E22:E37)</f>
        <v>0</v>
      </c>
      <c r="I20" s="179">
        <f>SUM(C20:H21)</f>
        <v>0</v>
      </c>
    </row>
    <row r="21" spans="2:9" x14ac:dyDescent="0.25">
      <c r="B21" s="183"/>
      <c r="C21" s="178"/>
      <c r="D21" s="178"/>
      <c r="E21" s="178"/>
      <c r="F21" s="178"/>
      <c r="G21" s="178"/>
      <c r="H21" s="178"/>
      <c r="I21" s="179"/>
    </row>
    <row r="22" spans="2:9" x14ac:dyDescent="0.25">
      <c r="B22" s="183" t="s">
        <v>30</v>
      </c>
      <c r="C22" s="178"/>
      <c r="D22" s="178"/>
      <c r="E22" s="178"/>
      <c r="F22" s="178"/>
      <c r="G22" s="178"/>
      <c r="H22" s="178">
        <f>SUMIF(Meetings!I22:I37,"*Soboth*",Meetings!H22:H37)</f>
        <v>0</v>
      </c>
      <c r="I22" s="179">
        <f>SUM(C22:H23)</f>
        <v>0</v>
      </c>
    </row>
    <row r="23" spans="2:9" x14ac:dyDescent="0.25">
      <c r="B23" s="183"/>
      <c r="C23" s="178"/>
      <c r="D23" s="178"/>
      <c r="E23" s="178"/>
      <c r="F23" s="178"/>
      <c r="G23" s="178"/>
      <c r="H23" s="178"/>
      <c r="I23" s="179"/>
    </row>
    <row r="24" spans="2:9" x14ac:dyDescent="0.25">
      <c r="B24" s="183" t="s">
        <v>31</v>
      </c>
      <c r="C24" s="178"/>
      <c r="D24" s="178"/>
      <c r="E24" s="178"/>
      <c r="F24" s="178"/>
      <c r="G24" s="178"/>
      <c r="H24" s="178">
        <f>SUMIF(Meetings!L22:L37,"*Soboth*",Meetings!K22:K37)</f>
        <v>0</v>
      </c>
      <c r="I24" s="179">
        <f>SUM(C24:H25)</f>
        <v>0</v>
      </c>
    </row>
    <row r="25" spans="2:9" x14ac:dyDescent="0.25">
      <c r="B25" s="183"/>
      <c r="C25" s="178"/>
      <c r="D25" s="178"/>
      <c r="E25" s="178"/>
      <c r="F25" s="178"/>
      <c r="G25" s="178"/>
      <c r="H25" s="178"/>
      <c r="I25" s="179"/>
    </row>
    <row r="26" spans="2:9" x14ac:dyDescent="0.25">
      <c r="B26" s="183" t="s">
        <v>32</v>
      </c>
      <c r="C26" s="178"/>
      <c r="D26" s="178"/>
      <c r="E26" s="178"/>
      <c r="F26" s="178"/>
      <c r="G26" s="178"/>
      <c r="H26" s="178">
        <f>SUMIF(Meetings!O22:O37,"*Soboth*",Meetings!N22:N37)</f>
        <v>0</v>
      </c>
      <c r="I26" s="179">
        <f>SUM(C26:H27)</f>
        <v>0</v>
      </c>
    </row>
    <row r="27" spans="2:9" x14ac:dyDescent="0.25">
      <c r="B27" s="183"/>
      <c r="C27" s="178"/>
      <c r="D27" s="178"/>
      <c r="E27" s="178"/>
      <c r="F27" s="178"/>
      <c r="G27" s="178"/>
      <c r="H27" s="178"/>
      <c r="I27" s="179"/>
    </row>
    <row r="28" spans="2:9" x14ac:dyDescent="0.25">
      <c r="B28" s="183" t="s">
        <v>33</v>
      </c>
      <c r="C28" s="178"/>
      <c r="D28" s="178"/>
      <c r="E28" s="178"/>
      <c r="F28" s="178"/>
      <c r="G28" s="178"/>
      <c r="H28" s="178">
        <f>SUMIF(Meetings!R22:R37,"*Soboth*",Meetings!Q22:Q37)</f>
        <v>0</v>
      </c>
      <c r="I28" s="179">
        <f>SUM(C28:H29)</f>
        <v>0</v>
      </c>
    </row>
    <row r="29" spans="2:9" x14ac:dyDescent="0.25">
      <c r="B29" s="183"/>
      <c r="C29" s="178"/>
      <c r="D29" s="178"/>
      <c r="E29" s="178"/>
      <c r="F29" s="178"/>
      <c r="G29" s="178"/>
      <c r="H29" s="178"/>
      <c r="I29" s="179"/>
    </row>
    <row r="30" spans="2:9" x14ac:dyDescent="0.25">
      <c r="B30" s="183" t="s">
        <v>34</v>
      </c>
      <c r="C30" s="178"/>
      <c r="D30" s="178"/>
      <c r="E30" s="178"/>
      <c r="F30" s="178"/>
      <c r="G30" s="178"/>
      <c r="H30" s="178">
        <f>SUMIF(Meetings!U22:U37,"*Soboth*",Meetings!T22:T37)</f>
        <v>0</v>
      </c>
      <c r="I30" s="179">
        <f>SUM(C30:H31)</f>
        <v>0</v>
      </c>
    </row>
    <row r="31" spans="2:9" ht="15.75" thickBot="1" x14ac:dyDescent="0.3">
      <c r="B31" s="183"/>
      <c r="C31" s="178"/>
      <c r="D31" s="178"/>
      <c r="E31" s="178"/>
      <c r="F31" s="178"/>
      <c r="G31" s="178"/>
      <c r="H31" s="178"/>
      <c r="I31" s="180"/>
    </row>
    <row r="32" spans="2:9" x14ac:dyDescent="0.25">
      <c r="B32" s="177" t="s">
        <v>43</v>
      </c>
      <c r="C32" s="179">
        <f>SUM(C4:C31)</f>
        <v>0.72916666666666663</v>
      </c>
      <c r="D32" s="179">
        <f t="shared" ref="D32:H32" si="0">SUM(D4:D31)</f>
        <v>0</v>
      </c>
      <c r="E32" s="179">
        <f t="shared" si="0"/>
        <v>0.33680555555555558</v>
      </c>
      <c r="F32" s="179">
        <f t="shared" si="0"/>
        <v>0.65277777777777779</v>
      </c>
      <c r="G32" s="179">
        <f t="shared" si="0"/>
        <v>0.29166666666666669</v>
      </c>
      <c r="H32" s="184">
        <f t="shared" si="0"/>
        <v>0.55902777777777779</v>
      </c>
      <c r="I32" s="186">
        <f>SUM(C32:H33)</f>
        <v>2.5694444444444442</v>
      </c>
    </row>
    <row r="33" spans="2:9" ht="15.75" thickBot="1" x14ac:dyDescent="0.3">
      <c r="B33" s="177"/>
      <c r="C33" s="177"/>
      <c r="D33" s="177"/>
      <c r="E33" s="177"/>
      <c r="F33" s="177"/>
      <c r="G33" s="177"/>
      <c r="H33" s="185"/>
      <c r="I33" s="187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V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22" ht="26.25" x14ac:dyDescent="0.4">
      <c r="A1" s="175" t="s">
        <v>51</v>
      </c>
      <c r="B1" s="175"/>
      <c r="C1" s="175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5</v>
      </c>
      <c r="L3" s="62"/>
      <c r="M3" s="62" t="s">
        <v>4</v>
      </c>
      <c r="N3" s="62"/>
      <c r="O3" s="62" t="s">
        <v>3</v>
      </c>
      <c r="P3" s="62"/>
      <c r="Q3" s="62" t="s">
        <v>2</v>
      </c>
      <c r="R3" s="62"/>
      <c r="S3" s="62" t="s">
        <v>1</v>
      </c>
      <c r="T3" s="62"/>
      <c r="U3" s="50" t="s">
        <v>37</v>
      </c>
      <c r="V3" s="50"/>
    </row>
    <row r="4" spans="1:22" x14ac:dyDescent="0.25">
      <c r="B4" s="181" t="s">
        <v>37</v>
      </c>
      <c r="C4" s="171">
        <f>SUMIF(U:U,"*[Implementierung]*",V:V)</f>
        <v>0</v>
      </c>
      <c r="D4" s="171">
        <f>SUMIF(U:U,"*[Testen]*",V:V)</f>
        <v>0</v>
      </c>
      <c r="E4" s="171">
        <f>SUMIF(U:U,"*[Entwurf]*",V:V)</f>
        <v>0</v>
      </c>
      <c r="F4" s="171">
        <f>SUMIF(U:U,"*[Recherche]*",V:V)</f>
        <v>0.22916666666666666</v>
      </c>
      <c r="G4" s="171">
        <f>SUMIF(U:U,"*[Organisation]*",V:V)</f>
        <v>0</v>
      </c>
      <c r="H4" s="171">
        <f>SUMIF(Meetings!C4:C19,"*Stephan*",Meetings!B4:B19)</f>
        <v>0.29166666666666669</v>
      </c>
      <c r="I4" s="179">
        <f>SUM(C4:H5)</f>
        <v>0.52083333333333337</v>
      </c>
      <c r="K4" s="56" t="s">
        <v>59</v>
      </c>
      <c r="L4" s="51" t="s">
        <v>60</v>
      </c>
      <c r="M4" s="56" t="s">
        <v>59</v>
      </c>
      <c r="N4" s="51" t="s">
        <v>60</v>
      </c>
      <c r="O4" s="56" t="s">
        <v>59</v>
      </c>
      <c r="P4" s="51" t="s">
        <v>60</v>
      </c>
      <c r="Q4" s="56" t="s">
        <v>59</v>
      </c>
      <c r="R4" s="51" t="s">
        <v>60</v>
      </c>
      <c r="S4" s="56" t="s">
        <v>59</v>
      </c>
      <c r="T4" s="51" t="s">
        <v>60</v>
      </c>
      <c r="U4" s="56" t="s">
        <v>59</v>
      </c>
      <c r="V4" s="51" t="s">
        <v>60</v>
      </c>
    </row>
    <row r="5" spans="1:22" x14ac:dyDescent="0.25">
      <c r="B5" s="182"/>
      <c r="C5" s="171"/>
      <c r="D5" s="171"/>
      <c r="E5" s="171"/>
      <c r="F5" s="171"/>
      <c r="G5" s="171"/>
      <c r="H5" s="171"/>
      <c r="I5" s="179"/>
      <c r="K5" t="s">
        <v>258</v>
      </c>
      <c r="L5" s="89">
        <v>8.3333333333333329E-2</v>
      </c>
      <c r="M5" t="s">
        <v>242</v>
      </c>
      <c r="N5" s="89">
        <v>1.0416666666666666E-2</v>
      </c>
      <c r="O5" t="s">
        <v>196</v>
      </c>
      <c r="P5" s="89">
        <v>0.17708333333333334</v>
      </c>
      <c r="Q5" t="s">
        <v>145</v>
      </c>
      <c r="R5" s="89">
        <v>4.1666666666666664E-2</v>
      </c>
      <c r="S5" t="s">
        <v>131</v>
      </c>
      <c r="T5" s="89">
        <v>9.0277777777777776E-2</v>
      </c>
      <c r="U5" s="2" t="s">
        <v>74</v>
      </c>
      <c r="V5" s="93">
        <v>6.25E-2</v>
      </c>
    </row>
    <row r="6" spans="1:22" x14ac:dyDescent="0.25">
      <c r="B6" s="183" t="s">
        <v>1</v>
      </c>
      <c r="C6" s="178">
        <f>SUMIF(S:S,"*[Implementierung]*",T:T)</f>
        <v>0.16527777777777777</v>
      </c>
      <c r="D6" s="178">
        <f>SUMIF(S:S,"*[Testen]*",T:T)</f>
        <v>4.9305555555555547E-2</v>
      </c>
      <c r="E6" s="178">
        <f>SUMIF(S:S,"*[Entwurf]*",T:T)</f>
        <v>0</v>
      </c>
      <c r="F6" s="178">
        <f>SUMIF(S:S,"*[Recherche]*",T:T)</f>
        <v>0</v>
      </c>
      <c r="G6" s="178">
        <f>SUMIF(S:S,"*[Organisation]*",T:T)</f>
        <v>0.36805555555555552</v>
      </c>
      <c r="H6" s="178">
        <f>SUMIF(Meetings!F4:F19,"*Stephan*",Meetings!E4:E19)</f>
        <v>0.1111111111111111</v>
      </c>
      <c r="I6" s="179">
        <f>SUM(C6:H7)</f>
        <v>0.69374999999999987</v>
      </c>
      <c r="K6" t="s">
        <v>271</v>
      </c>
      <c r="L6" s="89">
        <v>0.17986111111111111</v>
      </c>
      <c r="M6" t="s">
        <v>244</v>
      </c>
      <c r="N6" s="89">
        <v>2.0833333333333332E-2</v>
      </c>
      <c r="O6" t="s">
        <v>195</v>
      </c>
      <c r="P6" s="89">
        <v>2.7777777777777776E-2</v>
      </c>
      <c r="Q6" t="s">
        <v>148</v>
      </c>
      <c r="R6" s="89">
        <v>6.9444444444444441E-3</v>
      </c>
      <c r="S6" t="s">
        <v>121</v>
      </c>
      <c r="T6" s="89">
        <v>6.25E-2</v>
      </c>
      <c r="U6" s="2" t="s">
        <v>75</v>
      </c>
      <c r="V6" s="93">
        <v>0.16666666666666666</v>
      </c>
    </row>
    <row r="7" spans="1:22" x14ac:dyDescent="0.25">
      <c r="B7" s="183"/>
      <c r="C7" s="178"/>
      <c r="D7" s="178"/>
      <c r="E7" s="178"/>
      <c r="F7" s="178"/>
      <c r="G7" s="178"/>
      <c r="H7" s="178"/>
      <c r="I7" s="179"/>
      <c r="K7" t="s">
        <v>274</v>
      </c>
      <c r="L7" s="89">
        <v>4.1666666666666664E-2</v>
      </c>
      <c r="M7" t="s">
        <v>247</v>
      </c>
      <c r="N7" s="89">
        <v>9.9999999999999992E-2</v>
      </c>
      <c r="O7" t="s">
        <v>227</v>
      </c>
      <c r="P7" s="89">
        <v>9.7916666666666666E-2</v>
      </c>
      <c r="Q7" t="s">
        <v>185</v>
      </c>
      <c r="R7" s="89">
        <v>3.4722222222222224E-2</v>
      </c>
      <c r="S7" t="s">
        <v>132</v>
      </c>
      <c r="T7" s="89">
        <v>4.1666666666666664E-2</v>
      </c>
    </row>
    <row r="8" spans="1:22" x14ac:dyDescent="0.25">
      <c r="B8" s="183" t="s">
        <v>2</v>
      </c>
      <c r="C8" s="178">
        <f>SUMIF(Q:Q,"*[Implementierung]*",R:R)</f>
        <v>0.4375</v>
      </c>
      <c r="D8" s="178">
        <f>SUMIF(Q:Q,"*[Testen]*",R:R)</f>
        <v>5.4166666666666669E-2</v>
      </c>
      <c r="E8" s="178">
        <f>SUMIF(Q:Q,"*[Entwurf]*",R:R)</f>
        <v>8.0555555555555561E-2</v>
      </c>
      <c r="F8" s="178">
        <f>SUMIF(Q:Q,"*[Recherche]*",R:R)</f>
        <v>0</v>
      </c>
      <c r="G8" s="178">
        <f>SUMIF(Q:Q,"*[Organisation]*",R:R)</f>
        <v>7.4999999999999997E-2</v>
      </c>
      <c r="H8" s="178">
        <f>SUMIF(Meetings!I4:I19,"*Stephan*",Meetings!H4:H19)</f>
        <v>0.10416666666666666</v>
      </c>
      <c r="I8" s="179">
        <f>SUM(C8:H9)</f>
        <v>0.75138888888888888</v>
      </c>
      <c r="K8" t="s">
        <v>277</v>
      </c>
      <c r="L8" s="89">
        <v>3.4722222222222224E-2</v>
      </c>
      <c r="M8" t="s">
        <v>252</v>
      </c>
      <c r="N8" s="89">
        <v>9.6527777777777768E-2</v>
      </c>
      <c r="O8" t="s">
        <v>228</v>
      </c>
      <c r="P8" s="89">
        <v>2.6388888888888889E-2</v>
      </c>
      <c r="Q8" t="s">
        <v>186</v>
      </c>
      <c r="R8" s="89">
        <v>5.5555555555555552E-2</v>
      </c>
      <c r="S8" t="s">
        <v>133</v>
      </c>
      <c r="T8" s="89">
        <v>2.7777777777777776E-2</v>
      </c>
    </row>
    <row r="9" spans="1:22" x14ac:dyDescent="0.25">
      <c r="B9" s="183"/>
      <c r="C9" s="178"/>
      <c r="D9" s="178"/>
      <c r="E9" s="178"/>
      <c r="F9" s="178"/>
      <c r="G9" s="178"/>
      <c r="H9" s="178"/>
      <c r="I9" s="179"/>
      <c r="K9" t="s">
        <v>285</v>
      </c>
      <c r="L9" s="89">
        <v>7.7777777777777779E-2</v>
      </c>
      <c r="M9" t="s">
        <v>253</v>
      </c>
      <c r="N9" s="89">
        <v>8.3333333333333329E-2</v>
      </c>
      <c r="O9" t="s">
        <v>229</v>
      </c>
      <c r="P9" s="89">
        <v>2.4305555555555556E-2</v>
      </c>
      <c r="Q9" t="s">
        <v>187</v>
      </c>
      <c r="R9" s="89">
        <v>8.0555555555555561E-2</v>
      </c>
      <c r="S9" t="s">
        <v>134</v>
      </c>
      <c r="T9" s="89">
        <v>0.12847222222222224</v>
      </c>
    </row>
    <row r="10" spans="1:22" x14ac:dyDescent="0.25">
      <c r="B10" s="183" t="s">
        <v>3</v>
      </c>
      <c r="C10" s="178">
        <f>SUMIF(O:O,"*[Implementierung]*",P:P)</f>
        <v>0.50277777777777777</v>
      </c>
      <c r="D10" s="178">
        <f>SUMIF(O:O,"*[Testen]*",P:P)</f>
        <v>7.2916666666666671E-2</v>
      </c>
      <c r="E10" s="178">
        <f>SUMIF(O:O,"*[Entwurf]*",P:P)</f>
        <v>7.6388888888888895E-2</v>
      </c>
      <c r="F10" s="178">
        <f>SUMIF(O:O,"*[Recherche]*",P:P)</f>
        <v>5.5555555555555552E-2</v>
      </c>
      <c r="G10" s="178">
        <f>SUMIF(O:O,"*[Organisation]*",P:P)</f>
        <v>0</v>
      </c>
      <c r="H10" s="178">
        <f>SUMIF(Meetings!L4:L19,"*Stephan*",Meetings!K4:K19)</f>
        <v>0.10763888888888888</v>
      </c>
      <c r="I10" s="179">
        <f>SUM(C10:H11)</f>
        <v>0.81527777777777777</v>
      </c>
      <c r="K10" t="s">
        <v>286</v>
      </c>
      <c r="L10" s="89">
        <v>0.10555555555555556</v>
      </c>
      <c r="M10" t="s">
        <v>258</v>
      </c>
      <c r="N10" s="89">
        <v>8.7500000000000008E-2</v>
      </c>
      <c r="O10" t="s">
        <v>230</v>
      </c>
      <c r="P10" s="89">
        <v>5.5555555555555552E-2</v>
      </c>
      <c r="Q10" t="s">
        <v>188</v>
      </c>
      <c r="R10" s="89">
        <v>0.16527777777777777</v>
      </c>
      <c r="S10" t="s">
        <v>135</v>
      </c>
      <c r="T10" s="89">
        <v>0.16527777777777777</v>
      </c>
    </row>
    <row r="11" spans="1:22" x14ac:dyDescent="0.25">
      <c r="B11" s="183"/>
      <c r="C11" s="178"/>
      <c r="D11" s="178"/>
      <c r="E11" s="178"/>
      <c r="F11" s="178"/>
      <c r="G11" s="178"/>
      <c r="H11" s="178"/>
      <c r="I11" s="179"/>
      <c r="K11" t="s">
        <v>287</v>
      </c>
      <c r="L11" s="89">
        <v>0.17361111111111113</v>
      </c>
      <c r="M11" s="2" t="s">
        <v>233</v>
      </c>
      <c r="N11" s="89">
        <v>8.9583333333333334E-2</v>
      </c>
      <c r="O11" t="s">
        <v>231</v>
      </c>
      <c r="P11" s="89">
        <v>0.14930555555555555</v>
      </c>
      <c r="Q11" t="s">
        <v>189</v>
      </c>
      <c r="R11" s="89">
        <v>1.0416666666666666E-2</v>
      </c>
      <c r="S11" t="s">
        <v>136</v>
      </c>
      <c r="T11" s="89">
        <v>4.2361111111111106E-2</v>
      </c>
    </row>
    <row r="12" spans="1:22" x14ac:dyDescent="0.25">
      <c r="B12" s="183" t="s">
        <v>4</v>
      </c>
      <c r="C12" s="178">
        <f>SUMIF(M:M,"*[Implementierung]*",N:N)</f>
        <v>0.31527777777777777</v>
      </c>
      <c r="D12" s="178">
        <f>SUMIF(M:M,"*[Testen]*",N:N)</f>
        <v>8.9583333333333334E-2</v>
      </c>
      <c r="E12" s="178">
        <f>SUMIF(M:M,"*[Entwurf]*",N:N)</f>
        <v>0</v>
      </c>
      <c r="F12" s="178">
        <f>SUMIF(M:M,"*[Recherche]*",N:N)</f>
        <v>0</v>
      </c>
      <c r="G12" s="178">
        <f>SUMIF(M:M,"*[Organisation]*",N:N)</f>
        <v>8.3333333333333329E-2</v>
      </c>
      <c r="H12" s="178">
        <f>SUMIF(Meetings!O4:O19,"*Stephan*",Meetings!N4:N19)</f>
        <v>8.1249999999999989E-2</v>
      </c>
      <c r="I12" s="179">
        <f>SUM(C12:H13)</f>
        <v>0.56944444444444442</v>
      </c>
      <c r="K12" s="2" t="s">
        <v>233</v>
      </c>
      <c r="L12" s="89">
        <v>3.3333333333333333E-2</v>
      </c>
      <c r="O12" t="s">
        <v>232</v>
      </c>
      <c r="P12" s="89">
        <v>7.6388888888888895E-2</v>
      </c>
      <c r="Q12" t="s">
        <v>190</v>
      </c>
      <c r="R12" s="89">
        <v>3.472222222222222E-3</v>
      </c>
      <c r="S12" t="s">
        <v>137</v>
      </c>
      <c r="T12" s="89">
        <v>1.7361111111111112E-2</v>
      </c>
    </row>
    <row r="13" spans="1:22" x14ac:dyDescent="0.25">
      <c r="B13" s="183"/>
      <c r="C13" s="178"/>
      <c r="D13" s="178"/>
      <c r="E13" s="178"/>
      <c r="F13" s="178"/>
      <c r="G13" s="178"/>
      <c r="H13" s="178"/>
      <c r="I13" s="179"/>
      <c r="O13" t="s">
        <v>233</v>
      </c>
      <c r="P13" s="89">
        <v>3.6805555555555557E-2</v>
      </c>
      <c r="Q13" t="s">
        <v>191</v>
      </c>
      <c r="R13" s="89">
        <v>3.3333333333333333E-2</v>
      </c>
      <c r="S13" t="s">
        <v>138</v>
      </c>
      <c r="T13" s="89">
        <v>6.9444444444444441E-3</v>
      </c>
    </row>
    <row r="14" spans="1:22" x14ac:dyDescent="0.25">
      <c r="B14" s="183" t="s">
        <v>5</v>
      </c>
      <c r="C14" s="178">
        <f>SUMIF(K:K,"*[Implementierung]*",L:L)</f>
        <v>0.44027777777777777</v>
      </c>
      <c r="D14" s="178">
        <f>SUMIF(K:K,"*[Testen]*",L:L)</f>
        <v>3.3333333333333333E-2</v>
      </c>
      <c r="E14" s="178">
        <f>SUMIF(K:K,"*[Entwurf]*",L:L)</f>
        <v>4.1666666666666664E-2</v>
      </c>
      <c r="F14" s="178">
        <f>SUMIF(K:K,"*[Recherche]*",L:L)</f>
        <v>0</v>
      </c>
      <c r="G14" s="178">
        <f>SUMIF(K:K,"*[Organisation]*",L:L)</f>
        <v>0.21458333333333335</v>
      </c>
      <c r="H14" s="178">
        <f>SUMIF(Meetings!R4:R19,"*Stephan*",Meetings!Q4:Q19)</f>
        <v>0.15625</v>
      </c>
      <c r="I14" s="179">
        <f>SUM(C14:H15)</f>
        <v>0.88611111111111107</v>
      </c>
      <c r="O14" t="s">
        <v>234</v>
      </c>
      <c r="P14" s="89">
        <v>3.6111111111111115E-2</v>
      </c>
      <c r="Q14" t="s">
        <v>192</v>
      </c>
      <c r="R14" s="89">
        <v>6.9444444444444441E-3</v>
      </c>
    </row>
    <row r="15" spans="1:22" x14ac:dyDescent="0.25">
      <c r="B15" s="183"/>
      <c r="C15" s="178"/>
      <c r="D15" s="178"/>
      <c r="E15" s="178"/>
      <c r="F15" s="178"/>
      <c r="G15" s="178"/>
      <c r="H15" s="178"/>
      <c r="I15" s="179"/>
      <c r="Q15" t="s">
        <v>193</v>
      </c>
      <c r="R15" s="89">
        <v>2.7777777777777776E-2</v>
      </c>
    </row>
    <row r="16" spans="1:22" x14ac:dyDescent="0.25">
      <c r="B16" s="183" t="s">
        <v>6</v>
      </c>
      <c r="C16" s="178"/>
      <c r="D16" s="178"/>
      <c r="E16" s="178"/>
      <c r="F16" s="178"/>
      <c r="G16" s="178"/>
      <c r="H16" s="178">
        <f>SUMIF(Meetings!U4:U19,"*Stephan*",Meetings!T4:T19)</f>
        <v>0</v>
      </c>
      <c r="I16" s="179">
        <f>SUM(C16:H17)</f>
        <v>0</v>
      </c>
      <c r="Q16" t="s">
        <v>194</v>
      </c>
      <c r="R16" s="89">
        <v>5.7638888888888885E-2</v>
      </c>
    </row>
    <row r="17" spans="2:18" x14ac:dyDescent="0.25">
      <c r="B17" s="183"/>
      <c r="C17" s="178"/>
      <c r="D17" s="178"/>
      <c r="E17" s="178"/>
      <c r="F17" s="178"/>
      <c r="G17" s="178"/>
      <c r="H17" s="178"/>
      <c r="I17" s="179"/>
      <c r="Q17" t="s">
        <v>166</v>
      </c>
      <c r="R17" s="89">
        <v>6.9444444444444441E-3</v>
      </c>
    </row>
    <row r="18" spans="2:18" x14ac:dyDescent="0.25">
      <c r="B18" s="183" t="s">
        <v>28</v>
      </c>
      <c r="C18" s="178"/>
      <c r="D18" s="178"/>
      <c r="E18" s="178"/>
      <c r="F18" s="178"/>
      <c r="G18" s="178"/>
      <c r="H18" s="178">
        <f>SUMIF(Meetings!C22:C37,"*Stephan*",Meetings!B22:B37)</f>
        <v>0</v>
      </c>
      <c r="I18" s="179">
        <f>SUM(C18:H19)</f>
        <v>0</v>
      </c>
      <c r="Q18" t="s">
        <v>195</v>
      </c>
      <c r="R18" s="89">
        <v>2.4999999999999998E-2</v>
      </c>
    </row>
    <row r="19" spans="2:18" x14ac:dyDescent="0.25">
      <c r="B19" s="183"/>
      <c r="C19" s="178"/>
      <c r="D19" s="178"/>
      <c r="E19" s="178"/>
      <c r="F19" s="178"/>
      <c r="G19" s="178"/>
      <c r="H19" s="178"/>
      <c r="I19" s="179"/>
      <c r="Q19" t="s">
        <v>196</v>
      </c>
      <c r="R19" s="89">
        <v>3.4027777777777775E-2</v>
      </c>
    </row>
    <row r="20" spans="2:18" x14ac:dyDescent="0.25">
      <c r="B20" s="183" t="s">
        <v>29</v>
      </c>
      <c r="C20" s="178"/>
      <c r="D20" s="178"/>
      <c r="E20" s="178"/>
      <c r="F20" s="178"/>
      <c r="G20" s="178"/>
      <c r="H20" s="178">
        <f>SUMIF(Meetings!F22:F37,"*Stephan*",Meetings!E22:E37)</f>
        <v>0</v>
      </c>
      <c r="I20" s="179">
        <f>SUM(C20:H21)</f>
        <v>0</v>
      </c>
      <c r="Q20" t="s">
        <v>197</v>
      </c>
      <c r="R20" s="89">
        <v>5.4166666666666669E-2</v>
      </c>
    </row>
    <row r="21" spans="2:18" x14ac:dyDescent="0.25">
      <c r="B21" s="183"/>
      <c r="C21" s="178"/>
      <c r="D21" s="178"/>
      <c r="E21" s="178"/>
      <c r="F21" s="178"/>
      <c r="G21" s="178"/>
      <c r="H21" s="178"/>
      <c r="I21" s="179"/>
      <c r="Q21" t="s">
        <v>174</v>
      </c>
      <c r="R21" s="89">
        <v>2.7777777777777779E-3</v>
      </c>
    </row>
    <row r="22" spans="2:18" x14ac:dyDescent="0.25">
      <c r="B22" s="183" t="s">
        <v>30</v>
      </c>
      <c r="C22" s="178"/>
      <c r="D22" s="178"/>
      <c r="E22" s="178"/>
      <c r="F22" s="178"/>
      <c r="G22" s="178"/>
      <c r="H22" s="178">
        <f>SUMIF(Meetings!I22:I37,"*Stephan*",Meetings!H22:H37)</f>
        <v>0</v>
      </c>
      <c r="I22" s="179">
        <f>SUM(C22:H23)</f>
        <v>0</v>
      </c>
    </row>
    <row r="23" spans="2:18" x14ac:dyDescent="0.25">
      <c r="B23" s="183"/>
      <c r="C23" s="178"/>
      <c r="D23" s="178"/>
      <c r="E23" s="178"/>
      <c r="F23" s="178"/>
      <c r="G23" s="178"/>
      <c r="H23" s="178"/>
      <c r="I23" s="179"/>
    </row>
    <row r="24" spans="2:18" x14ac:dyDescent="0.25">
      <c r="B24" s="183" t="s">
        <v>31</v>
      </c>
      <c r="C24" s="178"/>
      <c r="D24" s="178"/>
      <c r="E24" s="178"/>
      <c r="F24" s="178"/>
      <c r="G24" s="178"/>
      <c r="H24" s="178">
        <f>SUMIF(Meetings!L22:L37,"*Stephan*",Meetings!K22:K37)</f>
        <v>0</v>
      </c>
      <c r="I24" s="179">
        <f>SUM(C24:H25)</f>
        <v>0</v>
      </c>
    </row>
    <row r="25" spans="2:18" x14ac:dyDescent="0.25">
      <c r="B25" s="183"/>
      <c r="C25" s="178"/>
      <c r="D25" s="178"/>
      <c r="E25" s="178"/>
      <c r="F25" s="178"/>
      <c r="G25" s="178"/>
      <c r="H25" s="178"/>
      <c r="I25" s="179"/>
    </row>
    <row r="26" spans="2:18" x14ac:dyDescent="0.25">
      <c r="B26" s="183" t="s">
        <v>32</v>
      </c>
      <c r="C26" s="178"/>
      <c r="D26" s="178"/>
      <c r="E26" s="178"/>
      <c r="F26" s="178"/>
      <c r="G26" s="178"/>
      <c r="H26" s="178">
        <f>SUMIF(Meetings!O22:O37,"*Stephan*",Meetings!N22:N37)</f>
        <v>0</v>
      </c>
      <c r="I26" s="179">
        <f>SUM(C26:H27)</f>
        <v>0</v>
      </c>
    </row>
    <row r="27" spans="2:18" x14ac:dyDescent="0.25">
      <c r="B27" s="183"/>
      <c r="C27" s="178"/>
      <c r="D27" s="178"/>
      <c r="E27" s="178"/>
      <c r="F27" s="178"/>
      <c r="G27" s="178"/>
      <c r="H27" s="178"/>
      <c r="I27" s="179"/>
    </row>
    <row r="28" spans="2:18" x14ac:dyDescent="0.25">
      <c r="B28" s="183" t="s">
        <v>33</v>
      </c>
      <c r="C28" s="178"/>
      <c r="D28" s="178"/>
      <c r="E28" s="178"/>
      <c r="F28" s="178"/>
      <c r="G28" s="178"/>
      <c r="H28" s="178">
        <f>SUMIF(Meetings!R22:R37,"*Stephan*",Meetings!Q22:Q37)</f>
        <v>0</v>
      </c>
      <c r="I28" s="179">
        <f>SUM(C28:H29)</f>
        <v>0</v>
      </c>
    </row>
    <row r="29" spans="2:18" x14ac:dyDescent="0.25">
      <c r="B29" s="183"/>
      <c r="C29" s="178"/>
      <c r="D29" s="178"/>
      <c r="E29" s="178"/>
      <c r="F29" s="178"/>
      <c r="G29" s="178"/>
      <c r="H29" s="178"/>
      <c r="I29" s="179"/>
    </row>
    <row r="30" spans="2:18" x14ac:dyDescent="0.25">
      <c r="B30" s="183" t="s">
        <v>34</v>
      </c>
      <c r="C30" s="178"/>
      <c r="D30" s="178"/>
      <c r="E30" s="178"/>
      <c r="F30" s="178"/>
      <c r="G30" s="178"/>
      <c r="H30" s="178">
        <f>SUMIF(Meetings!U22:U37,"*Stephan*",Meetings!T22:T37)</f>
        <v>0</v>
      </c>
      <c r="I30" s="179">
        <f>SUM(C30:H31)</f>
        <v>0</v>
      </c>
    </row>
    <row r="31" spans="2:18" ht="15.75" thickBot="1" x14ac:dyDescent="0.3">
      <c r="B31" s="183"/>
      <c r="C31" s="178"/>
      <c r="D31" s="178"/>
      <c r="E31" s="178"/>
      <c r="F31" s="178"/>
      <c r="G31" s="178"/>
      <c r="H31" s="178"/>
      <c r="I31" s="180"/>
    </row>
    <row r="32" spans="2:18" x14ac:dyDescent="0.25">
      <c r="B32" s="177" t="s">
        <v>43</v>
      </c>
      <c r="C32" s="179">
        <f>SUM(C4:C31)</f>
        <v>1.8611111111111112</v>
      </c>
      <c r="D32" s="179">
        <f t="shared" ref="D32:H32" si="0">SUM(D4:D31)</f>
        <v>0.29930555555555555</v>
      </c>
      <c r="E32" s="179">
        <f t="shared" si="0"/>
        <v>0.1986111111111111</v>
      </c>
      <c r="F32" s="179">
        <f t="shared" si="0"/>
        <v>0.28472222222222221</v>
      </c>
      <c r="G32" s="179">
        <f t="shared" si="0"/>
        <v>0.74097222222222225</v>
      </c>
      <c r="H32" s="184">
        <f t="shared" si="0"/>
        <v>0.8520833333333333</v>
      </c>
      <c r="I32" s="186">
        <f>SUM(C32:H33)</f>
        <v>4.2368055555555557</v>
      </c>
    </row>
    <row r="33" spans="2:9" ht="15.75" thickBot="1" x14ac:dyDescent="0.3">
      <c r="B33" s="177"/>
      <c r="C33" s="177"/>
      <c r="D33" s="177"/>
      <c r="E33" s="177"/>
      <c r="F33" s="177"/>
      <c r="G33" s="177"/>
      <c r="H33" s="185"/>
      <c r="I33" s="187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</vt:i4>
      </vt:variant>
    </vt:vector>
  </HeadingPairs>
  <TitlesOfParts>
    <vt:vector size="11" baseType="lpstr">
      <vt:lpstr>Übersicht</vt:lpstr>
      <vt:lpstr>Sprintübersicht</vt:lpstr>
      <vt:lpstr>Issues</vt:lpstr>
      <vt:lpstr>Meetings</vt:lpstr>
      <vt:lpstr>Pellekoorne</vt:lpstr>
      <vt:lpstr>Gutsche</vt:lpstr>
      <vt:lpstr>Lapp</vt:lpstr>
      <vt:lpstr>Martschenko</vt:lpstr>
      <vt:lpstr>Soboth</vt:lpstr>
      <vt:lpstr>Stephan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2020-06-10T08:44:25Z</dcterms:modified>
</cp:coreProperties>
</file>