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date1904="1"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imon\Desktop\VisuAnalytics\"/>
    </mc:Choice>
  </mc:AlternateContent>
  <xr:revisionPtr revIDLastSave="0" documentId="13_ncr:1_{9E24F825-A673-4E14-AAC8-9102B514156B}" xr6:coauthVersionLast="44" xr6:coauthVersionMax="44" xr10:uidLastSave="{00000000-0000-0000-0000-000000000000}"/>
  <bookViews>
    <workbookView xWindow="-120" yWindow="-120" windowWidth="29040" windowHeight="15840" xr2:uid="{18C2AE6B-9F7B-4513-8F84-E6F59AC358CD}"/>
  </bookViews>
  <sheets>
    <sheet name="Übersicht" sheetId="1" r:id="rId1"/>
    <sheet name="Sprintübersicht" sheetId="9" r:id="rId2"/>
    <sheet name="Issues" sheetId="10" r:id="rId3"/>
    <sheet name="Meetings" sheetId="8" r:id="rId4"/>
    <sheet name="Pellekoorne" sheetId="2" r:id="rId5"/>
    <sheet name="Gutsche" sheetId="3" r:id="rId6"/>
    <sheet name="Lapp" sheetId="4" r:id="rId7"/>
    <sheet name="Martschenko" sheetId="5" r:id="rId8"/>
    <sheet name="Soboth" sheetId="6" r:id="rId9"/>
    <sheet name="Stephan" sheetId="7" r:id="rId10"/>
  </sheets>
  <functionGroups builtInGroupCount="19"/>
  <definedNames>
    <definedName name="_Hlk39578305" localSheetId="5">Gutsche!$AA$5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40" i="1" l="1"/>
  <c r="R40" i="1"/>
  <c r="O40" i="1"/>
  <c r="L40" i="1"/>
  <c r="I40" i="1"/>
  <c r="H36" i="7"/>
  <c r="H34" i="7"/>
  <c r="H32" i="7"/>
  <c r="H36" i="5"/>
  <c r="H34" i="5"/>
  <c r="H32" i="5"/>
  <c r="H30" i="5"/>
  <c r="H36" i="4"/>
  <c r="H34" i="4"/>
  <c r="H32" i="4"/>
  <c r="H30" i="4"/>
  <c r="H36" i="3"/>
  <c r="H34" i="3"/>
  <c r="H32" i="3"/>
  <c r="H36" i="2"/>
  <c r="H34" i="2"/>
  <c r="H32" i="2"/>
  <c r="H30" i="7"/>
  <c r="H28" i="7"/>
  <c r="H26" i="7"/>
  <c r="H24" i="7"/>
  <c r="H22" i="7"/>
  <c r="H20" i="7"/>
  <c r="H18" i="7"/>
  <c r="H28" i="5"/>
  <c r="H26" i="5"/>
  <c r="H24" i="5"/>
  <c r="H22" i="5"/>
  <c r="H20" i="5"/>
  <c r="H18" i="5"/>
  <c r="H28" i="4"/>
  <c r="H26" i="4"/>
  <c r="H24" i="4"/>
  <c r="H22" i="4"/>
  <c r="H20" i="4"/>
  <c r="H18" i="4"/>
  <c r="H30" i="3"/>
  <c r="H28" i="3"/>
  <c r="H26" i="3"/>
  <c r="H24" i="3"/>
  <c r="H22" i="3"/>
  <c r="H20" i="3"/>
  <c r="H18" i="3"/>
  <c r="H18" i="2"/>
  <c r="H30" i="2"/>
  <c r="H28" i="2"/>
  <c r="H26" i="2"/>
  <c r="H24" i="2"/>
  <c r="H22" i="2"/>
  <c r="H20" i="2"/>
  <c r="H33" i="9" l="1"/>
  <c r="G33" i="9"/>
  <c r="F33" i="9"/>
  <c r="E33" i="9"/>
  <c r="D33" i="9"/>
  <c r="I34" i="2"/>
  <c r="I34" i="6"/>
  <c r="I36" i="6"/>
  <c r="I32" i="6"/>
  <c r="C33" i="9"/>
  <c r="Y5" i="1"/>
  <c r="S5" i="1"/>
  <c r="P5" i="1"/>
  <c r="M5" i="1"/>
  <c r="J5" i="1" l="1"/>
  <c r="I35" i="1"/>
  <c r="C35" i="9"/>
  <c r="D35" i="9"/>
  <c r="E35" i="9"/>
  <c r="F35" i="9"/>
  <c r="G35" i="9"/>
  <c r="H35" i="9"/>
  <c r="C37" i="9"/>
  <c r="D37" i="9"/>
  <c r="E37" i="9"/>
  <c r="F37" i="9"/>
  <c r="G37" i="9"/>
  <c r="H37" i="9"/>
  <c r="G20" i="7"/>
  <c r="F20" i="7"/>
  <c r="E20" i="7"/>
  <c r="D20" i="7"/>
  <c r="C20" i="7"/>
  <c r="G18" i="7"/>
  <c r="F18" i="7"/>
  <c r="E18" i="7"/>
  <c r="D18" i="7"/>
  <c r="C18" i="7"/>
  <c r="G16" i="7"/>
  <c r="F16" i="7"/>
  <c r="E16" i="7"/>
  <c r="D16" i="7"/>
  <c r="C16" i="7"/>
  <c r="G14" i="7"/>
  <c r="F14" i="7"/>
  <c r="E14" i="7"/>
  <c r="D14" i="7"/>
  <c r="C14" i="7"/>
  <c r="G12" i="7"/>
  <c r="F12" i="7"/>
  <c r="E12" i="7"/>
  <c r="D12" i="7"/>
  <c r="C12" i="7"/>
  <c r="G10" i="7"/>
  <c r="F10" i="7"/>
  <c r="E10" i="7"/>
  <c r="D10" i="7"/>
  <c r="C10" i="7"/>
  <c r="G8" i="7"/>
  <c r="F8" i="7"/>
  <c r="E8" i="7"/>
  <c r="D8" i="7"/>
  <c r="C8" i="7"/>
  <c r="G6" i="7"/>
  <c r="F6" i="7"/>
  <c r="E6" i="7"/>
  <c r="D6" i="7"/>
  <c r="C6" i="7"/>
  <c r="G4" i="7"/>
  <c r="F4" i="7"/>
  <c r="E4" i="7"/>
  <c r="D4" i="7"/>
  <c r="C4" i="7"/>
  <c r="G20" i="5"/>
  <c r="F20" i="5"/>
  <c r="E20" i="5"/>
  <c r="D20" i="5"/>
  <c r="C20" i="5"/>
  <c r="G18" i="5"/>
  <c r="F18" i="5"/>
  <c r="E18" i="5"/>
  <c r="D18" i="5"/>
  <c r="C18" i="5"/>
  <c r="G16" i="5"/>
  <c r="F16" i="5"/>
  <c r="E16" i="5"/>
  <c r="D16" i="5"/>
  <c r="C16" i="5"/>
  <c r="G14" i="5"/>
  <c r="F14" i="5"/>
  <c r="E14" i="5"/>
  <c r="D14" i="5"/>
  <c r="C14" i="5"/>
  <c r="G12" i="5"/>
  <c r="F12" i="5"/>
  <c r="E12" i="5"/>
  <c r="D12" i="5"/>
  <c r="C12" i="5"/>
  <c r="G10" i="5"/>
  <c r="F10" i="5"/>
  <c r="E10" i="5"/>
  <c r="D10" i="5"/>
  <c r="C10" i="5"/>
  <c r="G8" i="5"/>
  <c r="F8" i="5"/>
  <c r="E8" i="5"/>
  <c r="D8" i="5"/>
  <c r="C8" i="5"/>
  <c r="G6" i="5"/>
  <c r="F6" i="5"/>
  <c r="E6" i="5"/>
  <c r="D6" i="5"/>
  <c r="C6" i="5"/>
  <c r="G4" i="5"/>
  <c r="F4" i="5"/>
  <c r="E4" i="5"/>
  <c r="D4" i="5"/>
  <c r="C4" i="5"/>
  <c r="G20" i="4"/>
  <c r="F20" i="4"/>
  <c r="E20" i="4"/>
  <c r="D20" i="4"/>
  <c r="C20" i="4"/>
  <c r="G18" i="4"/>
  <c r="F18" i="4"/>
  <c r="E18" i="4"/>
  <c r="D18" i="4"/>
  <c r="C18" i="4"/>
  <c r="G16" i="4"/>
  <c r="F16" i="4"/>
  <c r="E16" i="4"/>
  <c r="D16" i="4"/>
  <c r="C16" i="4"/>
  <c r="G14" i="4"/>
  <c r="F14" i="4"/>
  <c r="E14" i="4"/>
  <c r="D14" i="4"/>
  <c r="C14" i="4"/>
  <c r="G12" i="4"/>
  <c r="F12" i="4"/>
  <c r="E12" i="4"/>
  <c r="D12" i="4"/>
  <c r="C12" i="4"/>
  <c r="G10" i="4"/>
  <c r="F10" i="4"/>
  <c r="E10" i="4"/>
  <c r="D10" i="4"/>
  <c r="C10" i="4"/>
  <c r="G8" i="4"/>
  <c r="F8" i="4"/>
  <c r="E8" i="4"/>
  <c r="D8" i="4"/>
  <c r="C8" i="4"/>
  <c r="G6" i="4"/>
  <c r="F6" i="4"/>
  <c r="E6" i="4"/>
  <c r="D6" i="4"/>
  <c r="C6" i="4"/>
  <c r="G4" i="4"/>
  <c r="F4" i="4"/>
  <c r="E4" i="4"/>
  <c r="D4" i="4"/>
  <c r="C4" i="4"/>
  <c r="G20" i="3"/>
  <c r="F20" i="3"/>
  <c r="E20" i="3"/>
  <c r="D20" i="3"/>
  <c r="C20" i="3"/>
  <c r="G18" i="3"/>
  <c r="F18" i="3"/>
  <c r="E18" i="3"/>
  <c r="D18" i="3"/>
  <c r="C18" i="3"/>
  <c r="G16" i="3"/>
  <c r="F16" i="3"/>
  <c r="E16" i="3"/>
  <c r="D16" i="3"/>
  <c r="C16" i="3"/>
  <c r="G14" i="3"/>
  <c r="F14" i="3"/>
  <c r="E14" i="3"/>
  <c r="D14" i="3"/>
  <c r="C14" i="3"/>
  <c r="G12" i="3"/>
  <c r="F12" i="3"/>
  <c r="E12" i="3"/>
  <c r="D12" i="3"/>
  <c r="C12" i="3"/>
  <c r="G10" i="3"/>
  <c r="F10" i="3"/>
  <c r="E10" i="3"/>
  <c r="D10" i="3"/>
  <c r="C10" i="3"/>
  <c r="G8" i="3"/>
  <c r="F8" i="3"/>
  <c r="E8" i="3"/>
  <c r="D8" i="3"/>
  <c r="C8" i="3"/>
  <c r="G6" i="3"/>
  <c r="F6" i="3"/>
  <c r="E6" i="3"/>
  <c r="D6" i="3"/>
  <c r="C6" i="3"/>
  <c r="G4" i="3"/>
  <c r="F4" i="3"/>
  <c r="E4" i="3"/>
  <c r="D4" i="3"/>
  <c r="C4" i="3"/>
  <c r="G20" i="2"/>
  <c r="F20" i="2"/>
  <c r="E20" i="2"/>
  <c r="D20" i="2"/>
  <c r="C20" i="2"/>
  <c r="G18" i="2"/>
  <c r="F18" i="2"/>
  <c r="E18" i="2"/>
  <c r="D18" i="2"/>
  <c r="C18" i="2"/>
  <c r="G16" i="2"/>
  <c r="F16" i="2"/>
  <c r="E16" i="2"/>
  <c r="D16" i="2"/>
  <c r="C16" i="2"/>
  <c r="G14" i="2"/>
  <c r="F14" i="2"/>
  <c r="E14" i="2"/>
  <c r="D14" i="2"/>
  <c r="C14" i="2"/>
  <c r="G12" i="2"/>
  <c r="F12" i="2"/>
  <c r="E12" i="2"/>
  <c r="D12" i="2"/>
  <c r="C12" i="2"/>
  <c r="G10" i="2"/>
  <c r="F10" i="2"/>
  <c r="E10" i="2"/>
  <c r="D10" i="2"/>
  <c r="C10" i="2"/>
  <c r="G8" i="2"/>
  <c r="F8" i="2"/>
  <c r="E8" i="2"/>
  <c r="D8" i="2"/>
  <c r="C8" i="2"/>
  <c r="G6" i="2"/>
  <c r="F6" i="2"/>
  <c r="E6" i="2"/>
  <c r="D6" i="2"/>
  <c r="C6" i="2"/>
  <c r="G4" i="2"/>
  <c r="F4" i="2"/>
  <c r="E4" i="2"/>
  <c r="D4" i="2"/>
  <c r="C4" i="2"/>
  <c r="H6" i="4"/>
  <c r="H6" i="2"/>
  <c r="H6" i="3"/>
  <c r="I35" i="9" l="1"/>
  <c r="I37" i="9"/>
  <c r="I33" i="9"/>
  <c r="I36" i="7"/>
  <c r="X37" i="1" s="1"/>
  <c r="I34" i="7"/>
  <c r="X35" i="1" s="1"/>
  <c r="I32" i="7"/>
  <c r="X33" i="1" s="1"/>
  <c r="I36" i="5"/>
  <c r="R37" i="1" s="1"/>
  <c r="I34" i="5"/>
  <c r="R35" i="1" s="1"/>
  <c r="I32" i="5"/>
  <c r="R33" i="1" s="1"/>
  <c r="I36" i="4"/>
  <c r="O37" i="1" s="1"/>
  <c r="I34" i="4"/>
  <c r="O35" i="1" s="1"/>
  <c r="I32" i="4"/>
  <c r="O33" i="1" s="1"/>
  <c r="I36" i="3"/>
  <c r="L37" i="1" s="1"/>
  <c r="I34" i="3"/>
  <c r="L35" i="1" s="1"/>
  <c r="I32" i="3"/>
  <c r="L33" i="1" s="1"/>
  <c r="I36" i="2" l="1"/>
  <c r="I37" i="1" s="1"/>
  <c r="I32" i="2"/>
  <c r="I33" i="1" s="1"/>
  <c r="C42" i="1"/>
  <c r="G16" i="6" l="1"/>
  <c r="F16" i="6"/>
  <c r="E16" i="6"/>
  <c r="D16" i="6"/>
  <c r="C16" i="6"/>
  <c r="G14" i="6"/>
  <c r="F14" i="6"/>
  <c r="E14" i="6"/>
  <c r="D14" i="6"/>
  <c r="C14" i="6"/>
  <c r="G12" i="6"/>
  <c r="F12" i="6"/>
  <c r="E12" i="6"/>
  <c r="D12" i="6"/>
  <c r="C12" i="6"/>
  <c r="G10" i="6"/>
  <c r="F10" i="6"/>
  <c r="E10" i="6"/>
  <c r="D10" i="6"/>
  <c r="C10" i="6"/>
  <c r="G8" i="6"/>
  <c r="F8" i="6"/>
  <c r="E8" i="6"/>
  <c r="D8" i="6"/>
  <c r="C8" i="6"/>
  <c r="G6" i="6"/>
  <c r="F6" i="6"/>
  <c r="E6" i="6"/>
  <c r="D6" i="6"/>
  <c r="C6" i="6"/>
  <c r="G4" i="6"/>
  <c r="F4" i="6"/>
  <c r="E4" i="6"/>
  <c r="D4" i="6"/>
  <c r="C4" i="6"/>
  <c r="C11" i="9" l="1"/>
  <c r="D11" i="9"/>
  <c r="E11" i="9"/>
  <c r="F11" i="9"/>
  <c r="G11" i="9"/>
  <c r="C13" i="9"/>
  <c r="D13" i="9"/>
  <c r="E13" i="9"/>
  <c r="F13" i="9"/>
  <c r="G13" i="9"/>
  <c r="C15" i="9"/>
  <c r="D15" i="9"/>
  <c r="E15" i="9"/>
  <c r="F15" i="9"/>
  <c r="G15" i="9"/>
  <c r="C17" i="9"/>
  <c r="D17" i="9"/>
  <c r="E17" i="9"/>
  <c r="F17" i="9"/>
  <c r="G17" i="9"/>
  <c r="C19" i="9"/>
  <c r="D19" i="9"/>
  <c r="E19" i="9"/>
  <c r="F19" i="9"/>
  <c r="G19" i="9"/>
  <c r="C21" i="9"/>
  <c r="D21" i="9"/>
  <c r="E21" i="9"/>
  <c r="F21" i="9"/>
  <c r="G21" i="9"/>
  <c r="C23" i="9"/>
  <c r="D23" i="9"/>
  <c r="E23" i="9"/>
  <c r="F23" i="9"/>
  <c r="G23" i="9"/>
  <c r="C25" i="9"/>
  <c r="D25" i="9"/>
  <c r="E25" i="9"/>
  <c r="F25" i="9"/>
  <c r="G25" i="9"/>
  <c r="C27" i="9"/>
  <c r="D27" i="9"/>
  <c r="E27" i="9"/>
  <c r="F27" i="9"/>
  <c r="G27" i="9"/>
  <c r="C29" i="9"/>
  <c r="D29" i="9"/>
  <c r="E29" i="9"/>
  <c r="F29" i="9"/>
  <c r="G29" i="9"/>
  <c r="C31" i="9"/>
  <c r="D31" i="9"/>
  <c r="E31" i="9"/>
  <c r="F31" i="9"/>
  <c r="G31" i="9"/>
  <c r="H16" i="7" l="1"/>
  <c r="H14" i="7"/>
  <c r="H12" i="7"/>
  <c r="H10" i="7"/>
  <c r="H8" i="7"/>
  <c r="H6" i="7"/>
  <c r="H4" i="7"/>
  <c r="H16" i="6"/>
  <c r="H14" i="6"/>
  <c r="H12" i="6"/>
  <c r="H10" i="6"/>
  <c r="H8" i="6"/>
  <c r="H6" i="6"/>
  <c r="H4" i="6"/>
  <c r="H16" i="5"/>
  <c r="H14" i="5"/>
  <c r="H12" i="5"/>
  <c r="H10" i="5"/>
  <c r="H8" i="5"/>
  <c r="H6" i="5"/>
  <c r="H4" i="5"/>
  <c r="H16" i="4"/>
  <c r="H14" i="4"/>
  <c r="H12" i="4"/>
  <c r="H10" i="4"/>
  <c r="H8" i="4"/>
  <c r="H4" i="4"/>
  <c r="H16" i="3"/>
  <c r="H14" i="3"/>
  <c r="H12" i="3"/>
  <c r="H10" i="3"/>
  <c r="H8" i="3"/>
  <c r="H4" i="3"/>
  <c r="H16" i="2"/>
  <c r="H14" i="2"/>
  <c r="H12" i="2"/>
  <c r="H10" i="2"/>
  <c r="H8" i="2"/>
  <c r="H4" i="2"/>
  <c r="H21" i="9" l="1"/>
  <c r="I21" i="9" s="1"/>
  <c r="H13" i="9"/>
  <c r="I13" i="9" s="1"/>
  <c r="H29" i="9"/>
  <c r="I29" i="9" s="1"/>
  <c r="H15" i="9"/>
  <c r="I15" i="9" s="1"/>
  <c r="H23" i="9"/>
  <c r="I23" i="9" s="1"/>
  <c r="H31" i="9"/>
  <c r="I31" i="9" s="1"/>
  <c r="H7" i="9"/>
  <c r="H5" i="9"/>
  <c r="H25" i="9"/>
  <c r="I25" i="9" s="1"/>
  <c r="H17" i="9"/>
  <c r="I17" i="9" s="1"/>
  <c r="H11" i="9"/>
  <c r="I11" i="9" s="1"/>
  <c r="H19" i="9"/>
  <c r="I19" i="9" s="1"/>
  <c r="H27" i="9"/>
  <c r="I27" i="9" s="1"/>
  <c r="H9" i="9"/>
  <c r="G7" i="9" l="1"/>
  <c r="F7" i="9"/>
  <c r="E7" i="9"/>
  <c r="D7" i="9"/>
  <c r="C7" i="9"/>
  <c r="G5" i="9"/>
  <c r="F5" i="9"/>
  <c r="E5" i="9"/>
  <c r="D5" i="9"/>
  <c r="C5" i="9"/>
  <c r="I5" i="9" l="1"/>
  <c r="I7" i="9"/>
  <c r="G38" i="2"/>
  <c r="F38" i="2"/>
  <c r="E38" i="2"/>
  <c r="D38" i="2"/>
  <c r="C38" i="2"/>
  <c r="H38" i="7" l="1"/>
  <c r="H38" i="6"/>
  <c r="H38" i="5"/>
  <c r="H38" i="4"/>
  <c r="H38" i="3"/>
  <c r="H38" i="2"/>
  <c r="I38" i="2" s="1"/>
  <c r="I6" i="6" l="1"/>
  <c r="I10" i="6"/>
  <c r="I12" i="6"/>
  <c r="I14" i="6"/>
  <c r="I16" i="6"/>
  <c r="I18" i="6"/>
  <c r="I20" i="6"/>
  <c r="I22" i="6"/>
  <c r="I24" i="6"/>
  <c r="I26" i="6"/>
  <c r="I28" i="6"/>
  <c r="I30" i="6"/>
  <c r="I4" i="6"/>
  <c r="I4" i="7"/>
  <c r="I6" i="4"/>
  <c r="I10" i="4"/>
  <c r="I12" i="4"/>
  <c r="I14" i="4"/>
  <c r="I16" i="4"/>
  <c r="I18" i="4"/>
  <c r="I20" i="4"/>
  <c r="I22" i="4"/>
  <c r="I24" i="4"/>
  <c r="I26" i="4"/>
  <c r="I28" i="4"/>
  <c r="I30" i="4"/>
  <c r="I4" i="4"/>
  <c r="I6" i="3"/>
  <c r="I10" i="3"/>
  <c r="I12" i="3"/>
  <c r="I14" i="3"/>
  <c r="I16" i="3"/>
  <c r="I18" i="3"/>
  <c r="I20" i="3"/>
  <c r="I22" i="3"/>
  <c r="I24" i="3"/>
  <c r="I26" i="3"/>
  <c r="I28" i="3"/>
  <c r="I30" i="3"/>
  <c r="I4" i="3"/>
  <c r="I20" i="2" l="1"/>
  <c r="I22" i="2"/>
  <c r="I24" i="2"/>
  <c r="I26" i="2"/>
  <c r="I28" i="2"/>
  <c r="I30" i="2"/>
  <c r="I30" i="7" l="1"/>
  <c r="X31" i="1" s="1"/>
  <c r="I28" i="7"/>
  <c r="X29" i="1" s="1"/>
  <c r="I26" i="7"/>
  <c r="X27" i="1" s="1"/>
  <c r="I24" i="7"/>
  <c r="X25" i="1" s="1"/>
  <c r="I22" i="7"/>
  <c r="X23" i="1" s="1"/>
  <c r="I20" i="7"/>
  <c r="X21" i="1" s="1"/>
  <c r="I18" i="7"/>
  <c r="X19" i="1" s="1"/>
  <c r="I16" i="7"/>
  <c r="X17" i="1" s="1"/>
  <c r="I14" i="7"/>
  <c r="X15" i="1" s="1"/>
  <c r="I12" i="7"/>
  <c r="X13" i="1" s="1"/>
  <c r="I10" i="7"/>
  <c r="X11" i="1" s="1"/>
  <c r="I6" i="7"/>
  <c r="X7" i="1" s="1"/>
  <c r="X5" i="1"/>
  <c r="U15" i="1"/>
  <c r="U13" i="1"/>
  <c r="U11" i="1"/>
  <c r="U7" i="1"/>
  <c r="U5" i="1"/>
  <c r="I30" i="5"/>
  <c r="R31" i="1" s="1"/>
  <c r="I28" i="5"/>
  <c r="R29" i="1" s="1"/>
  <c r="I26" i="5"/>
  <c r="R27" i="1" s="1"/>
  <c r="I24" i="5"/>
  <c r="R25" i="1" s="1"/>
  <c r="I22" i="5"/>
  <c r="R23" i="1" s="1"/>
  <c r="I20" i="5"/>
  <c r="R21" i="1" s="1"/>
  <c r="I18" i="5"/>
  <c r="R19" i="1" s="1"/>
  <c r="I16" i="5"/>
  <c r="R17" i="1" s="1"/>
  <c r="I14" i="5"/>
  <c r="R15" i="1" s="1"/>
  <c r="I12" i="5"/>
  <c r="R13" i="1" s="1"/>
  <c r="I10" i="5"/>
  <c r="R11" i="1" s="1"/>
  <c r="I6" i="5"/>
  <c r="R7" i="1" s="1"/>
  <c r="I4" i="5"/>
  <c r="R5" i="1" s="1"/>
  <c r="O31" i="1"/>
  <c r="O29" i="1"/>
  <c r="O27" i="1"/>
  <c r="O25" i="1"/>
  <c r="O23" i="1"/>
  <c r="O21" i="1"/>
  <c r="O19" i="1"/>
  <c r="O17" i="1"/>
  <c r="O15" i="1"/>
  <c r="O13" i="1"/>
  <c r="O11" i="1"/>
  <c r="O7" i="1"/>
  <c r="O5" i="1"/>
  <c r="I21" i="1"/>
  <c r="I23" i="1"/>
  <c r="I25" i="1"/>
  <c r="I27" i="1"/>
  <c r="I29" i="1"/>
  <c r="I31" i="1"/>
  <c r="S9" i="1" l="1"/>
  <c r="S7" i="1"/>
  <c r="T7" i="1" s="1"/>
  <c r="P9" i="1"/>
  <c r="P7" i="1"/>
  <c r="Q7" i="1" s="1"/>
  <c r="Y9" i="1"/>
  <c r="Y7" i="1"/>
  <c r="Z7" i="1" s="1"/>
  <c r="Z5" i="1"/>
  <c r="V5" i="1"/>
  <c r="W5" i="1" s="1"/>
  <c r="V9" i="1"/>
  <c r="V7" i="1"/>
  <c r="W7" i="1" s="1"/>
  <c r="T5" i="1"/>
  <c r="Q5" i="1"/>
  <c r="L5" i="1" l="1"/>
  <c r="L27" i="1"/>
  <c r="L29" i="1"/>
  <c r="L19" i="1"/>
  <c r="L25" i="1"/>
  <c r="L17" i="1"/>
  <c r="L23" i="1"/>
  <c r="L7" i="1"/>
  <c r="L13" i="1"/>
  <c r="L15" i="1"/>
  <c r="L21" i="1"/>
  <c r="L11" i="1"/>
  <c r="L31" i="1"/>
  <c r="M7" i="1" l="1"/>
  <c r="M9" i="1"/>
  <c r="N5" i="1"/>
  <c r="N7" i="1" l="1"/>
  <c r="I18" i="2" l="1"/>
  <c r="I19" i="1" s="1"/>
  <c r="I16" i="2" l="1"/>
  <c r="I17" i="1" s="1"/>
  <c r="I14" i="2"/>
  <c r="I15" i="1" s="1"/>
  <c r="I12" i="2"/>
  <c r="I13" i="1" s="1"/>
  <c r="I8" i="2"/>
  <c r="I9" i="1" s="1"/>
  <c r="I6" i="2"/>
  <c r="I7" i="1" s="1"/>
  <c r="I10" i="2"/>
  <c r="I11" i="1" s="1"/>
  <c r="I4" i="2"/>
  <c r="I5" i="1" s="1"/>
  <c r="J21" i="1" l="1"/>
  <c r="J13" i="1"/>
  <c r="J17" i="1"/>
  <c r="J9" i="1"/>
  <c r="J19" i="1"/>
  <c r="J11" i="1"/>
  <c r="J15" i="1"/>
  <c r="J7" i="1"/>
  <c r="K5" i="1"/>
  <c r="J23" i="1" l="1"/>
  <c r="K23" i="1" s="1"/>
  <c r="J33" i="1"/>
  <c r="K33" i="1" s="1"/>
  <c r="J37" i="1"/>
  <c r="K37" i="1" s="1"/>
  <c r="J29" i="1"/>
  <c r="K29" i="1" s="1"/>
  <c r="J35" i="1"/>
  <c r="K35" i="1" s="1"/>
  <c r="J27" i="1"/>
  <c r="K27" i="1" s="1"/>
  <c r="J25" i="1"/>
  <c r="K25" i="1" s="1"/>
  <c r="J31" i="1"/>
  <c r="K31" i="1" s="1"/>
  <c r="K19" i="1"/>
  <c r="K15" i="1"/>
  <c r="K9" i="1"/>
  <c r="K21" i="1"/>
  <c r="K13" i="1"/>
  <c r="K17" i="1"/>
  <c r="K7" i="1"/>
  <c r="K11" i="1"/>
  <c r="D38" i="3" l="1"/>
  <c r="F38" i="3"/>
  <c r="G38" i="3"/>
  <c r="C38" i="3"/>
  <c r="E38" i="3"/>
  <c r="I8" i="3"/>
  <c r="L9" i="1" s="1"/>
  <c r="M23" i="1" l="1"/>
  <c r="M15" i="1"/>
  <c r="M19" i="1"/>
  <c r="M13" i="1"/>
  <c r="M11" i="1"/>
  <c r="M17" i="1"/>
  <c r="I38" i="3"/>
  <c r="N9" i="1"/>
  <c r="D38" i="4"/>
  <c r="E38" i="4"/>
  <c r="C38" i="4"/>
  <c r="G38" i="4"/>
  <c r="F38" i="4"/>
  <c r="I8" i="4"/>
  <c r="O9" i="1" s="1"/>
  <c r="M21" i="1" l="1"/>
  <c r="N21" i="1" s="1"/>
  <c r="Q9" i="1"/>
  <c r="P23" i="1"/>
  <c r="P15" i="1"/>
  <c r="P19" i="1"/>
  <c r="P13" i="1"/>
  <c r="P11" i="1"/>
  <c r="P17" i="1"/>
  <c r="M33" i="1"/>
  <c r="N33" i="1" s="1"/>
  <c r="M25" i="1"/>
  <c r="N25" i="1" s="1"/>
  <c r="M27" i="1"/>
  <c r="N27" i="1" s="1"/>
  <c r="M31" i="1"/>
  <c r="N31" i="1" s="1"/>
  <c r="M29" i="1"/>
  <c r="N29" i="1" s="1"/>
  <c r="M35" i="1"/>
  <c r="N35" i="1" s="1"/>
  <c r="M37" i="1"/>
  <c r="N37" i="1" s="1"/>
  <c r="I38" i="4"/>
  <c r="N17" i="1"/>
  <c r="N11" i="1"/>
  <c r="N23" i="1"/>
  <c r="N15" i="1"/>
  <c r="N19" i="1"/>
  <c r="N13" i="1"/>
  <c r="P21" i="1" l="1"/>
  <c r="Q21" i="1" s="1"/>
  <c r="P33" i="1"/>
  <c r="Q33" i="1" s="1"/>
  <c r="P25" i="1"/>
  <c r="Q25" i="1" s="1"/>
  <c r="P31" i="1"/>
  <c r="Q31" i="1" s="1"/>
  <c r="P37" i="1"/>
  <c r="Q37" i="1" s="1"/>
  <c r="P29" i="1"/>
  <c r="Q29" i="1" s="1"/>
  <c r="P35" i="1"/>
  <c r="Q35" i="1" s="1"/>
  <c r="P27" i="1"/>
  <c r="Q27" i="1" s="1"/>
  <c r="Q15" i="1"/>
  <c r="Q13" i="1"/>
  <c r="Q23" i="1"/>
  <c r="Q19" i="1"/>
  <c r="Q17" i="1"/>
  <c r="Q11" i="1"/>
  <c r="F38" i="5"/>
  <c r="C38" i="5"/>
  <c r="E38" i="5"/>
  <c r="D38" i="5"/>
  <c r="G38" i="5"/>
  <c r="I8" i="5"/>
  <c r="R9" i="1" s="1"/>
  <c r="S23" i="1" l="1"/>
  <c r="S13" i="1"/>
  <c r="S19" i="1"/>
  <c r="S17" i="1"/>
  <c r="S11" i="1"/>
  <c r="S15" i="1"/>
  <c r="I38" i="5"/>
  <c r="T9" i="1"/>
  <c r="F38" i="6"/>
  <c r="C38" i="6"/>
  <c r="G38" i="6"/>
  <c r="D38" i="6"/>
  <c r="E38" i="6"/>
  <c r="I8" i="6"/>
  <c r="U9" i="1" s="1"/>
  <c r="U40" i="1" s="1"/>
  <c r="S21" i="1" l="1"/>
  <c r="T21" i="1" s="1"/>
  <c r="T15" i="1"/>
  <c r="S33" i="1"/>
  <c r="T33" i="1" s="1"/>
  <c r="S29" i="1"/>
  <c r="T29" i="1" s="1"/>
  <c r="S31" i="1"/>
  <c r="T31" i="1" s="1"/>
  <c r="S27" i="1"/>
  <c r="T27" i="1" s="1"/>
  <c r="S37" i="1"/>
  <c r="T37" i="1" s="1"/>
  <c r="S25" i="1"/>
  <c r="T25" i="1" s="1"/>
  <c r="S35" i="1"/>
  <c r="T35" i="1" s="1"/>
  <c r="I38" i="6"/>
  <c r="W9" i="1"/>
  <c r="T19" i="1"/>
  <c r="T11" i="1"/>
  <c r="T17" i="1"/>
  <c r="T23" i="1"/>
  <c r="T13" i="1"/>
  <c r="E9" i="9"/>
  <c r="E38" i="7"/>
  <c r="D38" i="7"/>
  <c r="D9" i="9"/>
  <c r="F9" i="9"/>
  <c r="F38" i="7"/>
  <c r="C9" i="9"/>
  <c r="C38" i="7"/>
  <c r="G38" i="7"/>
  <c r="G9" i="9"/>
  <c r="I8" i="7"/>
  <c r="X9" i="1" s="1"/>
  <c r="Y11" i="1" l="1"/>
  <c r="Y13" i="1"/>
  <c r="Y23" i="1"/>
  <c r="Y15" i="1"/>
  <c r="Y19" i="1"/>
  <c r="Y17" i="1"/>
  <c r="I9" i="9"/>
  <c r="I38" i="7"/>
  <c r="V13" i="1"/>
  <c r="W13" i="1" s="1"/>
  <c r="V15" i="1"/>
  <c r="W15" i="1" s="1"/>
  <c r="V11" i="1"/>
  <c r="W11" i="1" s="1"/>
  <c r="Z9" i="1"/>
  <c r="Y21" i="1" l="1"/>
  <c r="Z21" i="1" s="1"/>
  <c r="Y35" i="1"/>
  <c r="Z35" i="1" s="1"/>
  <c r="Y27" i="1"/>
  <c r="Z27" i="1" s="1"/>
  <c r="Y33" i="1"/>
  <c r="Z33" i="1" s="1"/>
  <c r="Y25" i="1"/>
  <c r="Z25" i="1" s="1"/>
  <c r="Y31" i="1"/>
  <c r="Z31" i="1" s="1"/>
  <c r="Y37" i="1"/>
  <c r="Z37" i="1" s="1"/>
  <c r="Y29" i="1"/>
  <c r="Z29" i="1" s="1"/>
  <c r="Z13" i="1"/>
  <c r="Z17" i="1"/>
  <c r="Z23" i="1"/>
  <c r="Z11" i="1"/>
  <c r="Z19" i="1"/>
  <c r="Z15" i="1"/>
</calcChain>
</file>

<file path=xl/sharedStrings.xml><?xml version="1.0" encoding="utf-8"?>
<sst xmlns="http://schemas.openxmlformats.org/spreadsheetml/2006/main" count="1495" uniqueCount="396">
  <si>
    <t>SWTP-SS20-Kammer-2  / Data-Analytics</t>
  </si>
  <si>
    <t>Sprint 1</t>
  </si>
  <si>
    <t>Sprint 2</t>
  </si>
  <si>
    <t>Sprint 3</t>
  </si>
  <si>
    <t>Sprint 4</t>
  </si>
  <si>
    <t>Sprint 5</t>
  </si>
  <si>
    <t>Sprint 6</t>
  </si>
  <si>
    <t>Donnerstag</t>
  </si>
  <si>
    <t>Montag</t>
  </si>
  <si>
    <t>Wochentag</t>
  </si>
  <si>
    <t>Datum</t>
  </si>
  <si>
    <t>Woche 1</t>
  </si>
  <si>
    <t>Woche 2</t>
  </si>
  <si>
    <t>Woche 3</t>
  </si>
  <si>
    <t>Woche 4</t>
  </si>
  <si>
    <t>Woche 5</t>
  </si>
  <si>
    <t>Woche 6</t>
  </si>
  <si>
    <t>Woche 7</t>
  </si>
  <si>
    <t>Woche 8</t>
  </si>
  <si>
    <t>Woche 9</t>
  </si>
  <si>
    <t>Woche 10</t>
  </si>
  <si>
    <t>Woche 11</t>
  </si>
  <si>
    <t>Woche 12</t>
  </si>
  <si>
    <t>Woche 13</t>
  </si>
  <si>
    <t>Woche 14</t>
  </si>
  <si>
    <t>Woche 15</t>
  </si>
  <si>
    <t>Abschlusspräsentation</t>
  </si>
  <si>
    <t xml:space="preserve">Zwischenpräsentation </t>
  </si>
  <si>
    <t>Sprint 7</t>
  </si>
  <si>
    <t>Sprint 8</t>
  </si>
  <si>
    <t>Sprint 9</t>
  </si>
  <si>
    <t>Sprint 10</t>
  </si>
  <si>
    <t>Sprint 11</t>
  </si>
  <si>
    <t>Sprint 12</t>
  </si>
  <si>
    <t>Sprint 13</t>
  </si>
  <si>
    <t>Lastenhefts</t>
  </si>
  <si>
    <t>Pflichtenhefts</t>
  </si>
  <si>
    <t>Planung</t>
  </si>
  <si>
    <t>Stunden</t>
  </si>
  <si>
    <t>Soll</t>
  </si>
  <si>
    <t>Differenz</t>
  </si>
  <si>
    <t>Verbleibende Wochen</t>
  </si>
  <si>
    <t>Abgeschlossen</t>
  </si>
  <si>
    <t>Gesamt</t>
  </si>
  <si>
    <t>Restzeit</t>
  </si>
  <si>
    <t>Testen</t>
  </si>
  <si>
    <t>Recherche</t>
  </si>
  <si>
    <t>Meeting</t>
  </si>
  <si>
    <t>Vorabversion fertig</t>
  </si>
  <si>
    <t>Pellekoorne, Timon</t>
  </si>
  <si>
    <t>Gutsche, Tanja</t>
  </si>
  <si>
    <t>Stephan, Max</t>
  </si>
  <si>
    <t>Soboth, Lisa</t>
  </si>
  <si>
    <t>Martschenko, David</t>
  </si>
  <si>
    <t>Lapp, Jannik</t>
  </si>
  <si>
    <t>Organisation</t>
  </si>
  <si>
    <t>Liste der Tätigkeiten</t>
  </si>
  <si>
    <t>Implementierung</t>
  </si>
  <si>
    <t>Entwurf</t>
  </si>
  <si>
    <t>Issue</t>
  </si>
  <si>
    <t>Dauer</t>
  </si>
  <si>
    <t xml:space="preserve">[Recherche] Grundlagen FFMPEG </t>
  </si>
  <si>
    <t xml:space="preserve">[Organisation] Excel-Datei für Zeitmanagement </t>
  </si>
  <si>
    <t xml:space="preserve">[Organisation] Vorbereitung Sprint-Planning </t>
  </si>
  <si>
    <t xml:space="preserve">[Recherche] Grundlagen pico2wave </t>
  </si>
  <si>
    <t xml:space="preserve">[Recherche] Visualisierung/Aufbereitung von Daten </t>
  </si>
  <si>
    <t xml:space="preserve">[Recherche] Text to Speech mit Python </t>
  </si>
  <si>
    <t>[Recherche] Möglichkeiten der Visualisierung</t>
  </si>
  <si>
    <t>[Recherche] Grundlagen ImageMagick und Pillow</t>
  </si>
  <si>
    <t xml:space="preserve">[Recherche] Erstellen eines Beispielvideos zum Wetterbericht </t>
  </si>
  <si>
    <t>[Recherche] Geeignete APIs</t>
  </si>
  <si>
    <t>[Entwurf] Konzept für Mock-up</t>
  </si>
  <si>
    <t>[Recherche] Grundlagen pico2wave</t>
  </si>
  <si>
    <t>[Recherche] Wordcloud</t>
  </si>
  <si>
    <t xml:space="preserve">[Recherche] Grundlagen von Docker </t>
  </si>
  <si>
    <t xml:space="preserve">[Recherche] Github &amp; Github Actions </t>
  </si>
  <si>
    <t>Meetings</t>
  </si>
  <si>
    <t>Termin</t>
  </si>
  <si>
    <t>Teilnehmer</t>
  </si>
  <si>
    <t>Pellekoorne, Gutsche, Lapp, Martschenko, Soboth, Stephan</t>
  </si>
  <si>
    <t>Pellekoorne, Stephan</t>
  </si>
  <si>
    <t>Sprintübersicht</t>
  </si>
  <si>
    <t>Pellekoorne, Gutsche, Martschenko</t>
  </si>
  <si>
    <t>Pellekoorne, Gutsche, Lapp, Martschenko, Stephan</t>
  </si>
  <si>
    <t>Pellekoorne, Gutsche, Lapp , Soboth, Stephan</t>
  </si>
  <si>
    <t>Assignee</t>
  </si>
  <si>
    <t>Pellekoorne</t>
  </si>
  <si>
    <t>[Organisation] Pflichtenheft erstellen</t>
  </si>
  <si>
    <t>[Entwurf] Konzept GUI erstellen</t>
  </si>
  <si>
    <t>[Organisation] Wochenbericht erstellen</t>
  </si>
  <si>
    <t>[Organisation] Github anpassen</t>
  </si>
  <si>
    <t>[Organisation] Präsentation Planung</t>
  </si>
  <si>
    <t>[Organisation] Excel-Datei überarbeiten</t>
  </si>
  <si>
    <t>[Organisation] Update Excel Datei</t>
  </si>
  <si>
    <t>[Organisation] VisualBasic und Makros in Excel</t>
  </si>
  <si>
    <t>[Organisation] VBA Automatisierungen hinzufügen</t>
  </si>
  <si>
    <t>[Organisation] Vorbereitung Sprint-Planning 11.05.20</t>
  </si>
  <si>
    <t>Lapp, Martschenko, Stephan</t>
  </si>
  <si>
    <t>Gutsche</t>
  </si>
  <si>
    <t>Pellekoorne, Soboth</t>
  </si>
  <si>
    <t>Lapp</t>
  </si>
  <si>
    <t>Martschenko</t>
  </si>
  <si>
    <t>Soboth</t>
  </si>
  <si>
    <t>Stephan</t>
  </si>
  <si>
    <t>[Implementierung] Datenaufbereitung Wetter</t>
  </si>
  <si>
    <t>[Implementierung] Datum zu Wochentag</t>
  </si>
  <si>
    <t>[Entwurf] Aufbau des Wetterberichts</t>
  </si>
  <si>
    <t>[Implementierung] Datenbank Wetterbericht-Texte bzw. Wörter</t>
  </si>
  <si>
    <t>[Implementierung] Wetterberichtstext erstellen lassen</t>
  </si>
  <si>
    <t>[Entwurf] Grafiken erstellen</t>
  </si>
  <si>
    <t>[Testen] Wetter API implementieren</t>
  </si>
  <si>
    <t>[Entwurf] Grafiken überarbeiten</t>
  </si>
  <si>
    <t>[Testen] Datum zu Wochentag</t>
  </si>
  <si>
    <t>[Implementierung] Wettericons, Orte</t>
  </si>
  <si>
    <t>[Entwurf] Bugfix Wetterkarte</t>
  </si>
  <si>
    <t>[Implementierung] 3 Tages Vorhersage</t>
  </si>
  <si>
    <t>[Implementierung] 1 Tages Vorhersage</t>
  </si>
  <si>
    <t>[Testen] Länge einer Audiodatei</t>
  </si>
  <si>
    <t>[Implementierung] Visualisierung Wetterdaten</t>
  </si>
  <si>
    <t>[Recherche] Einarbeiten in GIMP</t>
  </si>
  <si>
    <t>[Implementierung] Fix Path Problem with Images</t>
  </si>
  <si>
    <t>[Organisation] Ordner Struktur</t>
  </si>
  <si>
    <t>[Implementierung] Wetter API implementieren</t>
  </si>
  <si>
    <t>[Organisation] Entwurf eines "Datenfluss-Diagramms"</t>
  </si>
  <si>
    <t>[Implementierung] Fehlende Dokumentation für Wetter-API-Funktionen hinzufügen</t>
  </si>
  <si>
    <t>[Organisation] Konzept für Tests</t>
  </si>
  <si>
    <t xml:space="preserve">[Recherche] Lizenzen/rechtliche Absicherung </t>
  </si>
  <si>
    <t>[Recherche] Einarbeiten in Gimp</t>
  </si>
  <si>
    <t>[Entwurf] Zustandsdiagram erstellen</t>
  </si>
  <si>
    <t>[Implementierung] Länge einer Audiodatei</t>
  </si>
  <si>
    <t>[Organisation] Lizenzhinweise für Grafiken</t>
  </si>
  <si>
    <t>[Organisation] Python Doko Generator</t>
  </si>
  <si>
    <t>[Organisation] Automatische Tests mit Docker</t>
  </si>
  <si>
    <t>[Organisation] Fehler in Github Actions Testing</t>
  </si>
  <si>
    <t>[Organisation] Python Code Style</t>
  </si>
  <si>
    <t>[Implementierung] Flask Server aufsetzen</t>
  </si>
  <si>
    <t>[Testen] Visualisierung Wetterdaten</t>
  </si>
  <si>
    <t>[Organisation] Python dependencies Organisieren</t>
  </si>
  <si>
    <t>[Testen] Datenbank Wetterbericht-Texte bzw. Wörter</t>
  </si>
  <si>
    <t>[Organisation] Statusbericht überarbeiten</t>
  </si>
  <si>
    <t>[Organisation] Lasten/Pflichtenheft überarbeiten</t>
  </si>
  <si>
    <t>[Organisation] Lasten/Pflichtenheft überarbeiten 2</t>
  </si>
  <si>
    <t>[Organisation] Lastenheft fertigstellen</t>
  </si>
  <si>
    <t>[Organisation] Vorbereitung Sprint-Planning 18.05.20</t>
  </si>
  <si>
    <t>[Implementierung] 1. Entwurf Video Erstellung</t>
  </si>
  <si>
    <t>[Organisation] Besprechung Images/Audio</t>
  </si>
  <si>
    <t>[Implementierung] Modul speech.py anlegen und date_time.py verschieben</t>
  </si>
  <si>
    <t>[Recherche] Weitere APIs für Statusbericht</t>
  </si>
  <si>
    <t>[Implementierung] Verknüpfung von generate_weatherforecast.yp mit weather.py</t>
  </si>
  <si>
    <t>[Implementierung] Besprechung</t>
  </si>
  <si>
    <t>[Implementierung] Besprechnung</t>
  </si>
  <si>
    <t>[Implementierung] Implementierung</t>
  </si>
  <si>
    <t>[Implementierung] Methoden implementieren</t>
  </si>
  <si>
    <t>[Implementierung] Visualisierung auf neue Struktur anpassen</t>
  </si>
  <si>
    <t>[Implementierung] Tests schreiben für Weather Visualization</t>
  </si>
  <si>
    <t>[Implementierung] Beispiel JSON Datei laden</t>
  </si>
  <si>
    <t xml:space="preserve">[Entwurf] Bildgrößen Icons ändern </t>
  </si>
  <si>
    <t>[Implementierung] Wochentag Angabe in 3 tages Vorhersage hinzufügen</t>
  </si>
  <si>
    <t>[Entwurf] Lizenshinweise auf Grafiken hinzufügen</t>
  </si>
  <si>
    <t>[Implementierung] Position der Min/Max Temperatur verbessern</t>
  </si>
  <si>
    <t>[Organisation] Issues erstellen</t>
  </si>
  <si>
    <t>[Implementierung] Wochentag-angabe-position je nach Tag optimieren</t>
  </si>
  <si>
    <t>[Implementierung] Wochentag angabe bei 1 tages Vorhersage hinzufügen</t>
  </si>
  <si>
    <t>[Implementierung] Fehler in processing/weather_visualization</t>
  </si>
  <si>
    <t>[Implementierung] Visualization an 5 Tages Struktur anpassen</t>
  </si>
  <si>
    <t>[Implementierung] Bugfix Date - &gt; Weekday</t>
  </si>
  <si>
    <t xml:space="preserve">[Implementierung] Fehler Linking funktioniert nicht unter windows </t>
  </si>
  <si>
    <t>[Testen] Restrukturierung des Projekts</t>
  </si>
  <si>
    <t>[Testen] Resourcen Utils</t>
  </si>
  <si>
    <t>[Testen] Wettervorhersagedaten für 5 Tage beziehen (anstelle von 4)</t>
  </si>
  <si>
    <t>[Implementierung] Restrukturierung des Projekts</t>
  </si>
  <si>
    <t>[Organisation] Überarbeitete Verzeichnisstruktur</t>
  </si>
  <si>
    <t>[Implementierung] Private config-Datei für unsere API-keys anlegen</t>
  </si>
  <si>
    <t>[Implementierung] Tests für apis.weather / preprocessing.weather</t>
  </si>
  <si>
    <t>[Implementierung] Tests für dictionary.py und statistical.py</t>
  </si>
  <si>
    <t>[Organisation] Neuen API-Key für weatherbit generieren</t>
  </si>
  <si>
    <t>[Implementierung] Anpassung der docstrings</t>
  </si>
  <si>
    <t>[Organisation] Zeit-API-Key erhalten</t>
  </si>
  <si>
    <t>[Entwurf] (vorläufiges) Mockup für das finale Lastenheft</t>
  </si>
  <si>
    <t>[Entwurf] Übersichts-Seite</t>
  </si>
  <si>
    <t>[Entwurf] Job-Erstellen-Seiten</t>
  </si>
  <si>
    <t>[Entwurf] Job-Einstellungen-Seite</t>
  </si>
  <si>
    <t>[Entwurf] Entwickler-Tools-Seite</t>
  </si>
  <si>
    <t>[Testen] Analytics Control</t>
  </si>
  <si>
    <t>[Entwurf] Wordcloud erstellen für Lastenheft</t>
  </si>
  <si>
    <t>[Implementierung] Resourcen Utils</t>
  </si>
  <si>
    <t>[Implementierung] Docstring Format anpassen</t>
  </si>
  <si>
    <t>[Entwurf] Mock-up überarbeiten</t>
  </si>
  <si>
    <t>[Implementierung] Analytics Control</t>
  </si>
  <si>
    <t>[Implementierung] Fehler in resource Module</t>
  </si>
  <si>
    <t>[Implementierung] Deprecation Warning in Util/dictionary</t>
  </si>
  <si>
    <t>[Organisation] Github Actions update</t>
  </si>
  <si>
    <t>[Implementierung] Fehler in Docker</t>
  </si>
  <si>
    <t>[Implementierung] Tests für Analytics Control Job Logik</t>
  </si>
  <si>
    <t>[Implementierung] Analytics Control Job Logik Docstrings</t>
  </si>
  <si>
    <t>[Implementierung] Weather Control an neue Strucktur anpassen</t>
  </si>
  <si>
    <t>[Implementierung] Analytics Control Main module</t>
  </si>
  <si>
    <t>[Testen] Pull Request Reviews</t>
  </si>
  <si>
    <t>[Organisation] Pflichtenheft überarbeiten</t>
  </si>
  <si>
    <t>[Organisation] Pflichtenheft fertigstellen</t>
  </si>
  <si>
    <t>[Entwurf] Grafiken für Ortsbezogenen Wetterbericht</t>
  </si>
  <si>
    <t>[Recherche] frontend Web-framework</t>
  </si>
  <si>
    <t>[Entwurf] Deutschland Grafiken anpassen</t>
  </si>
  <si>
    <t>[Organisation] Sprint-Planning 25.05.2020</t>
  </si>
  <si>
    <t>[Implementierung] Tests erstellen</t>
  </si>
  <si>
    <t>[Implementierung] Nur Städtenamen zur Auswahl</t>
  </si>
  <si>
    <t>[Implementierung] Speech für einzelne Stadt</t>
  </si>
  <si>
    <t>[Implementierung] Benötige Wetter Daten ändern</t>
  </si>
  <si>
    <t>[Organisation] Besprechung Aufbau Code zu Speech in Preprocessing/Processing</t>
  </si>
  <si>
    <t>[Implementierung] Code anpassen zu Speech in Preprocessing/Processing</t>
  </si>
  <si>
    <t>[Recherche] Vergleich Pico2Wave / gtts</t>
  </si>
  <si>
    <t>[Implementierung] Lückentext speech_single anpassen</t>
  </si>
  <si>
    <t>[Implementierung] Visualizazion + Audio vereinheitlichen/verbessern</t>
  </si>
  <si>
    <t xml:space="preserve">[Implementierung] Änderungen an Weather Visualizazion </t>
  </si>
  <si>
    <t>[Implementierung] Grundgerüst Ortsbezogener Wetterbericht</t>
  </si>
  <si>
    <t>[Implementierung] Ortsbezogener Wetterbericht 2 Tages Vorhersage Visualiesierung</t>
  </si>
  <si>
    <t>[Recherche] ffmpeg bildübergänge</t>
  </si>
  <si>
    <t>[Implementierung] Bessere Bildübergange in ffmpgeg umsetzen</t>
  </si>
  <si>
    <t>[Testen] Speicherort und umgang mit temp dateien ändern</t>
  </si>
  <si>
    <t>[Organisation] Twitter-Developer-Account beantragen</t>
  </si>
  <si>
    <t>[Implementierung] Private config-Datei erstellen und verwenden</t>
  </si>
  <si>
    <t>[Implementierung] Ausführung und Ausgabe externer Programme (v.a. ffmpeg) kontrollieren</t>
  </si>
  <si>
    <t>[Implementierung] Logging einbauen</t>
  </si>
  <si>
    <t>[Implementierung] logging in WeatherSteps und SingleWeatherSteps einbauen</t>
  </si>
  <si>
    <t>[Recherche] Wie genau bekommen wir die relevanten Daten von der Zeit-API?</t>
  </si>
  <si>
    <t>[Testen] Datenbank erstellen und einrichten</t>
  </si>
  <si>
    <t>[Implementierung] Tests erstellen für preprocessing &gt; weather</t>
  </si>
  <si>
    <t>[Implementierung] Speicherort und umgang mit temp dateien ändern</t>
  </si>
  <si>
    <t>[Implementierung] Pfad Fehler unter Windows in ffmpeg</t>
  </si>
  <si>
    <t xml:space="preserve">[Implementierung] Speech für einzelne Stadt </t>
  </si>
  <si>
    <t>[Recherche] Async api requests</t>
  </si>
  <si>
    <t>[Implementierung] Datenbank erstellen und einrichten</t>
  </si>
  <si>
    <t>[Entwurf] Datenbank Entwerfen</t>
  </si>
  <si>
    <t>[Testen] Pull Requests</t>
  </si>
  <si>
    <t>[Testen] Speech für einzelne Stadt</t>
  </si>
  <si>
    <t>[Implementierung] Anpassungen docstrings</t>
  </si>
  <si>
    <t>[Implementierung] Bildübergänge in Ortsbezogener Vorhersage</t>
  </si>
  <si>
    <t>[Implementierung] Deutschland Wetterbericht Bilder ändern</t>
  </si>
  <si>
    <t>Pellekoorne, Lapp, Martschenko, Stephan</t>
  </si>
  <si>
    <t>[Implementierung] Ortsbezogener Wetterbericht schrift anpassen</t>
  </si>
  <si>
    <t>[Implementierung] Zeit API Grundgerüst</t>
  </si>
  <si>
    <t xml:space="preserve">[Implementierung] Zeit API einbinden </t>
  </si>
  <si>
    <t>[Implementierung] User interface inizalisieren</t>
  </si>
  <si>
    <t>[Implementierung] Zeit API Speech erstellen</t>
  </si>
  <si>
    <t>[Implementierung] Flask Server auf Frontend anpassen</t>
  </si>
  <si>
    <t>[Organisation] Bericht aktualisieren</t>
  </si>
  <si>
    <t xml:space="preserve">[Recherche] React-Tutorial durcharbeiten </t>
  </si>
  <si>
    <t>[Implementierung] Frontend Header und Fetch</t>
  </si>
  <si>
    <t>[Implementierung] Frontend Themen-Auswahl-Seite</t>
  </si>
  <si>
    <t>[Recherche] FFMPEG Hardwareboost</t>
  </si>
  <si>
    <t>[Implementierung] FFMPEG Hardwareboost</t>
  </si>
  <si>
    <t>[Recherche] Verschiedene ffmpeh decoder/encoder</t>
  </si>
  <si>
    <t>[Implementierung] Frontend Seiten Logik</t>
  </si>
  <si>
    <t>[Organisation] Github Actions Beschreibung</t>
  </si>
  <si>
    <t>[Implementierung] Parameter-Auswahl-Seite</t>
  </si>
  <si>
    <t>[Organisation] Planung Zeit-API Einbindung</t>
  </si>
  <si>
    <t>[Implementierung] History Visualisation</t>
  </si>
  <si>
    <t>[Implementierung] Test schreiben für history - speech</t>
  </si>
  <si>
    <t>[Implementierung] Control auf Benutzung ohne frontend anpassen</t>
  </si>
  <si>
    <t>[Implementierung] Frontend Job-Liste</t>
  </si>
  <si>
    <t>[Entwurf] Wordclouds für Zeit API designen</t>
  </si>
  <si>
    <t>[Implementierung] Job-Auswahl-Seite hinzugefügt</t>
  </si>
  <si>
    <t>[Implementierung] Einarbeiten in React &amp; Material-UI</t>
  </si>
  <si>
    <t>[Implementierung] Jobliste grafisch erstellen</t>
  </si>
  <si>
    <t>[Implementierung] Handling Events hinzufügen</t>
  </si>
  <si>
    <t>[Implementierung] besprochene Änderungen implementieren</t>
  </si>
  <si>
    <t>[Entwurf] Besprechung</t>
  </si>
  <si>
    <t>Pellekoorne, Martschenko, Stephan</t>
  </si>
  <si>
    <t>Pellekoorne, Lapp, Stephan</t>
  </si>
  <si>
    <t>Pellekoorne, Gutsche, Lapp, Stephan</t>
  </si>
  <si>
    <t>Pellekoorne, Gutsche</t>
  </si>
  <si>
    <t>[Organisation] Struktur für Step Config dateien</t>
  </si>
  <si>
    <t xml:space="preserve">[Implementierung] Kommentare ergänzen (Weather-Single/ History) </t>
  </si>
  <si>
    <t>[Implementierung] Postleitzahl Anfragen</t>
  </si>
  <si>
    <t>[Entwurf] Besprechung generischer Aufbau Visualisierung</t>
  </si>
  <si>
    <t>[Implementierung] step-example.json für wetterberichte zusammenbauen (Images)</t>
  </si>
  <si>
    <t>[Implementierung] Variabler Output Ordner</t>
  </si>
  <si>
    <t>[Organisation] Besprechung Aufbau &amp; Implementierung step-example.json</t>
  </si>
  <si>
    <t>[Implementierung] Zeitplan-Auswahl-Seite (Struktur der Seite)</t>
  </si>
  <si>
    <t>[Implementierung] Zeitplan-Auswahl-Seite (Auswahl-Logik)</t>
  </si>
  <si>
    <t>[Implementierung] Fehler in Text Deutschland-Wetterbericht</t>
  </si>
  <si>
    <t>[Organisation] Bericht erweitern</t>
  </si>
  <si>
    <t>[Organisation] Sprint-Planning 08.06.2020</t>
  </si>
  <si>
    <t>[Implementierung] step-example.json für wetterberichte zusammenbauen (Speech)</t>
  </si>
  <si>
    <t>[Implementierung] Step config Pillow</t>
  </si>
  <si>
    <t>[Implementierung] Docker File updaten</t>
  </si>
  <si>
    <t>[Implementierung] Steps Config Transform (transform)</t>
  </si>
  <si>
    <t>[Implementierung] Steps Config Transform (stepsData)</t>
  </si>
  <si>
    <t>[Implementierung] Steps Config Transform (calculate)</t>
  </si>
  <si>
    <t>[Organisation] Excel-Datei Neue Mitglieder hinzufügen</t>
  </si>
  <si>
    <t>[Implementierung] Steps Config Transform</t>
  </si>
  <si>
    <t>[Implementierung] Steps Config Transform(StepData)</t>
  </si>
  <si>
    <t>[Implementierung] Steps Config Transform(transform)</t>
  </si>
  <si>
    <t>[Organisation] Besprechung step-example und Funktionen</t>
  </si>
  <si>
    <t>[Organisation] Anleitung zum Starten des Programms</t>
  </si>
  <si>
    <t>[Implementierung] Stepper für Job-Erstellen-Funktion</t>
  </si>
  <si>
    <t>[Implementierung] Stepper für Job-Erstellen-Funktion(Stepper einbauen)</t>
  </si>
  <si>
    <t>[Implementierung] Stepper für Job-Erstellen-Funktion(Themen)</t>
  </si>
  <si>
    <t>[Implementierung] Stepper für Job-Erstellen-Funktion(Parameter)</t>
  </si>
  <si>
    <t>[Implementierung] Stepper für Job-Erstellen-Funktion(Zeitplan)</t>
  </si>
  <si>
    <t>[Implementierung] Step config Sequence</t>
  </si>
  <si>
    <t>[Implementierung] Zeitauswahl-Seite-Komponente anpassen</t>
  </si>
  <si>
    <t xml:space="preserve">[Organisation] Frontend Dependecies updaten </t>
  </si>
  <si>
    <t>[Implementierung] Testen der transform-Funktionen steps config</t>
  </si>
  <si>
    <t>[Implementierung] Testen der calculate-Funktionen steps config</t>
  </si>
  <si>
    <t>[Organisation] Berichte erweitern</t>
  </si>
  <si>
    <t>[Organisation] Besprechung step-config json</t>
  </si>
  <si>
    <t>[Implementierung] Bugfix part.py sowie testen</t>
  </si>
  <si>
    <t>[Implementierung]Step json Datei anpassen</t>
  </si>
  <si>
    <t>[Implementierung] Startseite überarbeiten</t>
  </si>
  <si>
    <t>[Organisation] Donnerstags Meeting vorbereiten</t>
  </si>
  <si>
    <t>[Implementierung] Startseite erstellen</t>
  </si>
  <si>
    <t>Pellekoorne, Martschenko</t>
  </si>
  <si>
    <t>[Implementierung] Startseite erstellen (Verbesserungen)</t>
  </si>
  <si>
    <t>[Implementierung] Controll auf neue Steps config anpassen</t>
  </si>
  <si>
    <t>[Implementierung] Steps-Config Speech anpassen</t>
  </si>
  <si>
    <t>[Implementierung] Weitere transform-Funktionen</t>
  </si>
  <si>
    <t>[Implementierung] Steps Config api</t>
  </si>
  <si>
    <t>[Organisation] Sprint-Planning (15.06.2020)</t>
  </si>
  <si>
    <t>[Organisation] Online Präsentation</t>
  </si>
  <si>
    <t>[Organisation] Vortrag Teil 2</t>
  </si>
  <si>
    <t>[Organisation] Vortrag Datenaufbereitung vorbereiten</t>
  </si>
  <si>
    <t>[Organisation] Vortrag zur GUI vorbereiten</t>
  </si>
  <si>
    <t>[Präsentation] Vortrag Visualisierung</t>
  </si>
  <si>
    <t>Ausgeschieden am 10.06.2020</t>
  </si>
  <si>
    <t>[Recherche] Wordcloud Keywords Veränderungen über Zeiträume</t>
  </si>
  <si>
    <t>[Implementierung] transform type für Stadt namen</t>
  </si>
  <si>
    <t>Implementierung] Step config API Header</t>
  </si>
  <si>
    <t>[Implementierung] Steppercolor/deleteButton</t>
  </si>
  <si>
    <t>[Organisation] Vortrag Visualisierung</t>
  </si>
  <si>
    <t>[Implementierung] GUI-Verbesserungen</t>
  </si>
  <si>
    <t>[Implementierung] Frontend Anpassungen</t>
  </si>
  <si>
    <t>[Implementierung] Zeitplan Modal</t>
  </si>
  <si>
    <t>[Entwurf] Icon Auflösung anpassen</t>
  </si>
  <si>
    <t>[Entwurf] Icon Position anpassen</t>
  </si>
  <si>
    <t>[Implementierung] kleine Anpassungen der Inputfelder</t>
  </si>
  <si>
    <t>[Implementierung] Wetterbericht Germany fertig stellen</t>
  </si>
  <si>
    <t>[Implementierung] Fußball API beginnen</t>
  </si>
  <si>
    <t>[Entwurf] Fußball Grafiken erstellen</t>
  </si>
  <si>
    <t>[Implementierung] Cleanup alte Files</t>
  </si>
  <si>
    <t>[Implementierung] Projekt aufräumen</t>
  </si>
  <si>
    <t>[Implementierung] Web-API</t>
  </si>
  <si>
    <t>[Implementierung] Fußball Anpassungen an Transform</t>
  </si>
  <si>
    <t>[Implementierung] Steps Config Verbessern</t>
  </si>
  <si>
    <t>[Implementierung] Visualieserung Verzweigung</t>
  </si>
  <si>
    <t>[Implementierung] Visualieserung Fußball Spieltag JSON</t>
  </si>
  <si>
    <t>[Implementierung] Visualieserung Fußball Tabelle JSON</t>
  </si>
  <si>
    <t>[Implementierung] Fehler beim Deutschlandweiten wetterbericht</t>
  </si>
  <si>
    <t>Gutsche, Lapp, Stephan</t>
  </si>
  <si>
    <t>[Implementierung] Weitere Funktionen Fußball</t>
  </si>
  <si>
    <t>[Implementierung] Weitere Funktionen Fußball (Texte)</t>
  </si>
  <si>
    <t>[Implementierung] Weitere Funktionen Fußball (JSON erweitern)</t>
  </si>
  <si>
    <t>[Implementierung] Tests für Transform Funktionen</t>
  </si>
  <si>
    <t>[Implementierung] Steps Config bessere Fehlermeldungen</t>
  </si>
  <si>
    <t>[Organisation] Sprint-Planning 22.06.2020</t>
  </si>
  <si>
    <t>[Entwurf] Pfeile Grafiken</t>
  </si>
  <si>
    <t>[Entwurf] Texte Bundesliga</t>
  </si>
  <si>
    <t>[Organisation] Statusbericht 23.06.2020</t>
  </si>
  <si>
    <t>[Organisation] Dokumentation schreiben</t>
  </si>
  <si>
    <t>[Implementierung] Sequence Fußball JSON</t>
  </si>
  <si>
    <t>[Implementierung] Tests für Image Funktionen</t>
  </si>
  <si>
    <t>[Implementierung] Kommentare Visualieserung überarbeiten</t>
  </si>
  <si>
    <t>[Organisation] Dependencies Updaten</t>
  </si>
  <si>
    <t>[Implementierung] Step pattern Fehlermeldungen Verbessern</t>
  </si>
  <si>
    <t>[Implementierung] Datenbankmodell anpassen</t>
  </si>
  <si>
    <t>[Implementierung] Speichern / Lesen von vorherigen Durchläufen</t>
  </si>
  <si>
    <t>[Implementierung] Tabellen Diferenz Berechnen</t>
  </si>
  <si>
    <t>[Implementierung] Up / Down Pfeile einbinden</t>
  </si>
  <si>
    <t>[Entwurf] Weitere Anpassungen des Datenbank-Modells</t>
  </si>
  <si>
    <t>[Implementierung] transform-Methoden mit random mit variabel langen Dict-Einträgen</t>
  </si>
  <si>
    <t>[Implementierung] Fehler in transform_append</t>
  </si>
  <si>
    <t>[Implementierung] API-Endpunkte (Zugriff Flask)</t>
  </si>
  <si>
    <t>[Implementierung] API-Endpunkte (topics)</t>
  </si>
  <si>
    <t>[Implementierung] API-Endpunkte (param)</t>
  </si>
  <si>
    <t>[Implementierung] API-Endpunkte (job)</t>
  </si>
  <si>
    <t>[Implementierung] Option Ergebnisse des Spieltages unvollständig transform und audio</t>
  </si>
  <si>
    <t xml:space="preserve">[Implementierung] Verwendung verschidener Audio Tools </t>
  </si>
  <si>
    <t>[Organisation] Dokumentation schreiben (Überblick)</t>
  </si>
  <si>
    <t>[Organisation] Dokumentation schreiben (Struktur)</t>
  </si>
  <si>
    <t>[Implementierung] Sprache Fußball erweitern</t>
  </si>
  <si>
    <t>[Implementierung] calculate multiply und divide hinzufügen</t>
  </si>
  <si>
    <t xml:space="preserve">[Organisation] docstrings überarbeiten </t>
  </si>
  <si>
    <t>[Implementierung] Sprache Fußball erweitern und calculates und transforms anpassen</t>
  </si>
  <si>
    <t>[Implementierung] docstrings transform und calculate hinzufügen</t>
  </si>
  <si>
    <t>[Organisation] Sprint-Planning 29.06.2020</t>
  </si>
  <si>
    <t>[Implementierung] Wordpress-Plugin</t>
  </si>
  <si>
    <t>[Implementierung] Fehlerbehebung football.json</t>
  </si>
  <si>
    <t>[Organisation] Documentation für Steps Config</t>
  </si>
  <si>
    <t>Sonntag</t>
  </si>
  <si>
    <t>Woche 16</t>
  </si>
  <si>
    <t>Woche 17</t>
  </si>
  <si>
    <t>Woche 18</t>
  </si>
  <si>
    <t>Sprint 14</t>
  </si>
  <si>
    <t>Sprint 15</t>
  </si>
  <si>
    <t>Sprint 16</t>
  </si>
  <si>
    <t>Abgabe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</si>
</sst>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;;;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8CBAD"/>
      <name val="Calibri"/>
      <family val="2"/>
      <scheme val="minor"/>
    </font>
    <font>
      <sz val="18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CCCC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rgb="FFFF0000"/>
      </bottom>
      <diagonal/>
    </border>
    <border>
      <left/>
      <right/>
      <top style="dashed">
        <color indexed="64"/>
      </top>
      <bottom style="medium">
        <color rgb="FFFF0000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</borders>
  <cellStyleXfs count="1">
    <xf numFmtId="0" fontId="0" fillId="0" borderId="0"/>
  </cellStyleXfs>
  <cellXfs count="203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4" borderId="0" xfId="0" applyFill="1"/>
    <xf numFmtId="14" fontId="0" fillId="4" borderId="0" xfId="0" applyNumberFormat="1" applyFill="1"/>
    <xf numFmtId="14" fontId="0" fillId="4" borderId="2" xfId="0" applyNumberFormat="1" applyFill="1" applyBorder="1"/>
    <xf numFmtId="14" fontId="6" fillId="4" borderId="2" xfId="0" applyNumberFormat="1" applyFont="1" applyFill="1" applyBorder="1"/>
    <xf numFmtId="0" fontId="0" fillId="4" borderId="2" xfId="0" applyFill="1" applyBorder="1"/>
    <xf numFmtId="0" fontId="0" fillId="5" borderId="0" xfId="0" applyFill="1"/>
    <xf numFmtId="14" fontId="0" fillId="5" borderId="0" xfId="0" applyNumberFormat="1" applyFill="1"/>
    <xf numFmtId="0" fontId="0" fillId="5" borderId="0" xfId="0" applyFill="1" applyBorder="1"/>
    <xf numFmtId="14" fontId="0" fillId="5" borderId="0" xfId="0" applyNumberFormat="1" applyFill="1" applyBorder="1"/>
    <xf numFmtId="14" fontId="0" fillId="4" borderId="0" xfId="0" applyNumberFormat="1" applyFill="1" applyBorder="1"/>
    <xf numFmtId="14" fontId="0" fillId="4" borderId="3" xfId="0" applyNumberFormat="1" applyFill="1" applyBorder="1"/>
    <xf numFmtId="0" fontId="0" fillId="0" borderId="0" xfId="0" applyAlignment="1"/>
    <xf numFmtId="0" fontId="1" fillId="0" borderId="0" xfId="0" applyFont="1"/>
    <xf numFmtId="0" fontId="8" fillId="0" borderId="0" xfId="0" applyFont="1"/>
    <xf numFmtId="0" fontId="0" fillId="0" borderId="1" xfId="0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0" borderId="1" xfId="0" applyBorder="1"/>
    <xf numFmtId="0" fontId="9" fillId="0" borderId="29" xfId="0" applyFont="1" applyBorder="1"/>
    <xf numFmtId="0" fontId="8" fillId="0" borderId="17" xfId="0" applyFont="1" applyBorder="1"/>
    <xf numFmtId="0" fontId="0" fillId="2" borderId="1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14" fontId="0" fillId="0" borderId="38" xfId="0" applyNumberFormat="1" applyBorder="1"/>
    <xf numFmtId="14" fontId="0" fillId="0" borderId="0" xfId="0" applyNumberFormat="1" applyBorder="1"/>
    <xf numFmtId="14" fontId="0" fillId="0" borderId="39" xfId="0" applyNumberForma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38" xfId="0" applyBorder="1"/>
    <xf numFmtId="0" fontId="0" fillId="0" borderId="39" xfId="0" applyBorder="1"/>
    <xf numFmtId="14" fontId="0" fillId="0" borderId="41" xfId="0" applyNumberFormat="1" applyFill="1" applyBorder="1"/>
    <xf numFmtId="14" fontId="0" fillId="0" borderId="42" xfId="0" applyNumberFormat="1" applyFill="1" applyBorder="1"/>
    <xf numFmtId="0" fontId="0" fillId="0" borderId="0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45" xfId="0" applyBorder="1"/>
    <xf numFmtId="0" fontId="0" fillId="0" borderId="11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1" fillId="0" borderId="12" xfId="0" applyFont="1" applyBorder="1"/>
    <xf numFmtId="46" fontId="0" fillId="0" borderId="0" xfId="0" applyNumberFormat="1"/>
    <xf numFmtId="0" fontId="0" fillId="9" borderId="1" xfId="0" applyFont="1" applyFill="1" applyBorder="1"/>
    <xf numFmtId="0" fontId="0" fillId="0" borderId="7" xfId="0" applyFont="1" applyFill="1" applyBorder="1" applyAlignment="1">
      <alignment horizontal="left"/>
    </xf>
    <xf numFmtId="21" fontId="0" fillId="0" borderId="8" xfId="0" applyNumberFormat="1" applyFont="1" applyBorder="1"/>
    <xf numFmtId="0" fontId="11" fillId="0" borderId="0" xfId="0" applyFont="1" applyBorder="1"/>
    <xf numFmtId="0" fontId="0" fillId="0" borderId="8" xfId="0" applyFont="1" applyBorder="1"/>
    <xf numFmtId="0" fontId="0" fillId="0" borderId="1" xfId="0" applyFont="1" applyFill="1" applyBorder="1" applyAlignment="1">
      <alignment horizontal="left"/>
    </xf>
    <xf numFmtId="0" fontId="0" fillId="0" borderId="47" xfId="0" applyBorder="1"/>
    <xf numFmtId="0" fontId="0" fillId="9" borderId="1" xfId="0" applyFill="1" applyBorder="1"/>
    <xf numFmtId="0" fontId="0" fillId="0" borderId="7" xfId="0" applyBorder="1"/>
    <xf numFmtId="21" fontId="0" fillId="0" borderId="8" xfId="0" applyNumberFormat="1" applyBorder="1"/>
    <xf numFmtId="0" fontId="0" fillId="10" borderId="1" xfId="0" applyFill="1" applyBorder="1"/>
    <xf numFmtId="0" fontId="0" fillId="10" borderId="1" xfId="0" applyFont="1" applyFill="1" applyBorder="1"/>
    <xf numFmtId="0" fontId="0" fillId="0" borderId="8" xfId="0" applyFont="1" applyFill="1" applyBorder="1" applyAlignment="1">
      <alignment horizontal="left"/>
    </xf>
    <xf numFmtId="0" fontId="0" fillId="0" borderId="8" xfId="0" applyBorder="1"/>
    <xf numFmtId="0" fontId="0" fillId="0" borderId="0" xfId="0" applyFont="1" applyBorder="1"/>
    <xf numFmtId="0" fontId="0" fillId="0" borderId="19" xfId="0" applyFont="1" applyBorder="1"/>
    <xf numFmtId="0" fontId="0" fillId="0" borderId="19" xfId="0" applyFont="1" applyFill="1" applyBorder="1" applyAlignment="1">
      <alignment horizontal="left"/>
    </xf>
    <xf numFmtId="0" fontId="0" fillId="9" borderId="14" xfId="0" applyFont="1" applyFill="1" applyBorder="1"/>
    <xf numFmtId="0" fontId="0" fillId="9" borderId="22" xfId="0" applyFont="1" applyFill="1" applyBorder="1"/>
    <xf numFmtId="0" fontId="0" fillId="9" borderId="15" xfId="0" applyFont="1" applyFill="1" applyBorder="1"/>
    <xf numFmtId="0" fontId="0" fillId="0" borderId="20" xfId="0" applyFont="1" applyFill="1" applyBorder="1" applyAlignment="1">
      <alignment horizontal="left"/>
    </xf>
    <xf numFmtId="14" fontId="0" fillId="0" borderId="49" xfId="0" applyNumberFormat="1" applyFont="1" applyBorder="1"/>
    <xf numFmtId="0" fontId="0" fillId="0" borderId="49" xfId="0" applyBorder="1"/>
    <xf numFmtId="0" fontId="0" fillId="0" borderId="49" xfId="0" applyFont="1" applyBorder="1"/>
    <xf numFmtId="0" fontId="0" fillId="6" borderId="14" xfId="0" applyFont="1" applyFill="1" applyBorder="1"/>
    <xf numFmtId="0" fontId="0" fillId="6" borderId="24" xfId="0" applyFont="1" applyFill="1" applyBorder="1"/>
    <xf numFmtId="0" fontId="0" fillId="6" borderId="15" xfId="0" applyFont="1" applyFill="1" applyBorder="1"/>
    <xf numFmtId="0" fontId="0" fillId="0" borderId="17" xfId="0" applyFont="1" applyFill="1" applyBorder="1" applyAlignment="1">
      <alignment horizontal="left"/>
    </xf>
    <xf numFmtId="0" fontId="0" fillId="6" borderId="22" xfId="0" applyFont="1" applyFill="1" applyBorder="1"/>
    <xf numFmtId="0" fontId="0" fillId="0" borderId="49" xfId="0" applyFont="1" applyFill="1" applyBorder="1" applyAlignment="1">
      <alignment horizontal="left"/>
    </xf>
    <xf numFmtId="0" fontId="0" fillId="0" borderId="48" xfId="0" applyFont="1" applyFill="1" applyBorder="1" applyAlignment="1">
      <alignment horizontal="left"/>
    </xf>
    <xf numFmtId="0" fontId="0" fillId="0" borderId="48" xfId="0" applyFont="1" applyBorder="1" applyAlignment="1">
      <alignment horizontal="fill"/>
    </xf>
    <xf numFmtId="0" fontId="0" fillId="0" borderId="0" xfId="0" applyAlignment="1">
      <alignment horizontal="fill"/>
    </xf>
    <xf numFmtId="0" fontId="0" fillId="0" borderId="8" xfId="0" applyFont="1" applyBorder="1" applyAlignment="1">
      <alignment horizontal="right"/>
    </xf>
    <xf numFmtId="21" fontId="0" fillId="0" borderId="0" xfId="0" applyNumberFormat="1"/>
    <xf numFmtId="14" fontId="0" fillId="0" borderId="49" xfId="0" applyNumberFormat="1" applyBorder="1"/>
    <xf numFmtId="21" fontId="0" fillId="0" borderId="8" xfId="0" applyNumberFormat="1" applyBorder="1" applyAlignment="1">
      <alignment horizontal="right"/>
    </xf>
    <xf numFmtId="0" fontId="0" fillId="0" borderId="48" xfId="0" applyBorder="1" applyAlignment="1">
      <alignment horizontal="fill"/>
    </xf>
    <xf numFmtId="21" fontId="0" fillId="0" borderId="0" xfId="0" applyNumberFormat="1" applyBorder="1"/>
    <xf numFmtId="0" fontId="1" fillId="0" borderId="0" xfId="0" applyFont="1" applyAlignment="1">
      <alignment horizontal="fill"/>
    </xf>
    <xf numFmtId="0" fontId="0" fillId="0" borderId="0" xfId="0" applyAlignment="1">
      <alignment horizontal="center"/>
    </xf>
    <xf numFmtId="0" fontId="0" fillId="0" borderId="17" xfId="0" applyBorder="1"/>
    <xf numFmtId="0" fontId="0" fillId="10" borderId="50" xfId="0" applyFont="1" applyFill="1" applyBorder="1"/>
    <xf numFmtId="0" fontId="14" fillId="10" borderId="51" xfId="0" applyFont="1" applyFill="1" applyBorder="1"/>
    <xf numFmtId="0" fontId="6" fillId="10" borderId="52" xfId="0" applyFont="1" applyFill="1" applyBorder="1"/>
    <xf numFmtId="0" fontId="0" fillId="0" borderId="12" xfId="0" applyBorder="1"/>
    <xf numFmtId="0" fontId="0" fillId="0" borderId="17" xfId="0" applyBorder="1" applyAlignment="1">
      <alignment horizontal="fill"/>
    </xf>
    <xf numFmtId="21" fontId="0" fillId="0" borderId="17" xfId="0" applyNumberFormat="1" applyBorder="1" applyAlignment="1">
      <alignment horizontal="fill"/>
    </xf>
    <xf numFmtId="0" fontId="1" fillId="0" borderId="17" xfId="0" applyFont="1" applyBorder="1" applyAlignment="1">
      <alignment horizontal="fill"/>
    </xf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39" xfId="0" applyFill="1" applyBorder="1" applyAlignment="1">
      <alignment horizontal="fill"/>
    </xf>
    <xf numFmtId="0" fontId="0" fillId="4" borderId="0" xfId="0" applyFill="1" applyBorder="1"/>
    <xf numFmtId="0" fontId="0" fillId="0" borderId="5" xfId="0" applyBorder="1"/>
    <xf numFmtId="0" fontId="0" fillId="11" borderId="60" xfId="0" applyFill="1" applyBorder="1"/>
    <xf numFmtId="0" fontId="0" fillId="11" borderId="5" xfId="0" applyFill="1" applyBorder="1"/>
    <xf numFmtId="0" fontId="0" fillId="11" borderId="2" xfId="0" applyFill="1" applyBorder="1"/>
    <xf numFmtId="165" fontId="0" fillId="0" borderId="0" xfId="0" applyNumberFormat="1"/>
    <xf numFmtId="0" fontId="0" fillId="0" borderId="62" xfId="0" applyBorder="1"/>
    <xf numFmtId="0" fontId="0" fillId="0" borderId="63" xfId="0" applyBorder="1"/>
    <xf numFmtId="46" fontId="0" fillId="10" borderId="20" xfId="0" applyNumberFormat="1" applyFill="1" applyBorder="1" applyAlignment="1">
      <alignment horizontal="center" vertical="center"/>
    </xf>
    <xf numFmtId="46" fontId="0" fillId="10" borderId="21" xfId="0" applyNumberFormat="1" applyFill="1" applyBorder="1" applyAlignment="1">
      <alignment horizontal="center" vertical="center"/>
    </xf>
    <xf numFmtId="46" fontId="0" fillId="10" borderId="8" xfId="0" applyNumberFormat="1" applyFill="1" applyBorder="1" applyAlignment="1">
      <alignment horizontal="center" vertical="center"/>
    </xf>
    <xf numFmtId="46" fontId="0" fillId="10" borderId="28" xfId="0" applyNumberFormat="1" applyFill="1" applyBorder="1" applyAlignment="1">
      <alignment horizontal="center" vertical="center"/>
    </xf>
    <xf numFmtId="46" fontId="0" fillId="10" borderId="19" xfId="0" applyNumberFormat="1" applyFill="1" applyBorder="1" applyAlignment="1">
      <alignment horizontal="center" vertical="center"/>
    </xf>
    <xf numFmtId="46" fontId="0" fillId="10" borderId="18" xfId="0" applyNumberFormat="1" applyFill="1" applyBorder="1" applyAlignment="1">
      <alignment horizontal="center" vertical="center"/>
    </xf>
    <xf numFmtId="46" fontId="0" fillId="10" borderId="49" xfId="0" applyNumberFormat="1" applyFill="1" applyBorder="1" applyAlignment="1">
      <alignment horizontal="center" vertical="center"/>
    </xf>
    <xf numFmtId="46" fontId="0" fillId="10" borderId="27" xfId="0" applyNumberFormat="1" applyFill="1" applyBorder="1" applyAlignment="1">
      <alignment horizontal="center" vertical="center"/>
    </xf>
    <xf numFmtId="46" fontId="0" fillId="10" borderId="48" xfId="0" applyNumberFormat="1" applyFill="1" applyBorder="1" applyAlignment="1">
      <alignment horizontal="center" vertical="center"/>
    </xf>
    <xf numFmtId="46" fontId="0" fillId="10" borderId="34" xfId="0" applyNumberFormat="1" applyFill="1" applyBorder="1" applyAlignment="1">
      <alignment horizontal="center" vertical="center"/>
    </xf>
    <xf numFmtId="46" fontId="0" fillId="10" borderId="7" xfId="0" applyNumberFormat="1" applyFill="1" applyBorder="1" applyAlignment="1">
      <alignment horizontal="center" vertical="center"/>
    </xf>
    <xf numFmtId="46" fontId="0" fillId="10" borderId="12" xfId="0" applyNumberFormat="1" applyFill="1" applyBorder="1" applyAlignment="1">
      <alignment horizontal="center" vertical="center"/>
    </xf>
    <xf numFmtId="46" fontId="0" fillId="10" borderId="38" xfId="0" applyNumberFormat="1" applyFill="1" applyBorder="1" applyAlignment="1">
      <alignment horizontal="center" vertical="center"/>
    </xf>
    <xf numFmtId="46" fontId="0" fillId="10" borderId="4" xfId="0" applyNumberFormat="1" applyFill="1" applyBorder="1" applyAlignment="1">
      <alignment horizontal="center" vertical="center"/>
    </xf>
    <xf numFmtId="46" fontId="0" fillId="3" borderId="20" xfId="0" applyNumberFormat="1" applyFill="1" applyBorder="1" applyAlignment="1">
      <alignment horizontal="center" vertical="center"/>
    </xf>
    <xf numFmtId="46" fontId="0" fillId="3" borderId="21" xfId="0" applyNumberFormat="1" applyFill="1" applyBorder="1" applyAlignment="1">
      <alignment horizontal="center" vertical="center"/>
    </xf>
    <xf numFmtId="46" fontId="0" fillId="3" borderId="8" xfId="0" applyNumberFormat="1" applyFill="1" applyBorder="1" applyAlignment="1">
      <alignment horizontal="center" vertical="center"/>
    </xf>
    <xf numFmtId="46" fontId="0" fillId="3" borderId="4" xfId="0" applyNumberFormat="1" applyFill="1" applyBorder="1" applyAlignment="1">
      <alignment horizontal="center" vertical="center"/>
    </xf>
    <xf numFmtId="46" fontId="0" fillId="3" borderId="19" xfId="0" applyNumberFormat="1" applyFill="1" applyBorder="1" applyAlignment="1">
      <alignment horizontal="center" vertical="center"/>
    </xf>
    <xf numFmtId="46" fontId="0" fillId="3" borderId="18" xfId="0" applyNumberFormat="1" applyFill="1" applyBorder="1" applyAlignment="1">
      <alignment horizontal="center" vertical="center"/>
    </xf>
    <xf numFmtId="46" fontId="0" fillId="3" borderId="49" xfId="0" applyNumberFormat="1" applyFill="1" applyBorder="1" applyAlignment="1">
      <alignment horizontal="center" vertical="center"/>
    </xf>
    <xf numFmtId="46" fontId="0" fillId="3" borderId="7" xfId="0" applyNumberFormat="1" applyFill="1" applyBorder="1" applyAlignment="1">
      <alignment horizontal="center" vertical="center"/>
    </xf>
    <xf numFmtId="46" fontId="0" fillId="3" borderId="12" xfId="0" applyNumberFormat="1" applyFill="1" applyBorder="1" applyAlignment="1">
      <alignment horizontal="center" vertical="center"/>
    </xf>
    <xf numFmtId="46" fontId="0" fillId="3" borderId="38" xfId="0" applyNumberForma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32" xfId="0" applyBorder="1" applyAlignment="1">
      <alignment horizontal="center"/>
    </xf>
    <xf numFmtId="0" fontId="6" fillId="2" borderId="10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46" fontId="0" fillId="6" borderId="7" xfId="0" applyNumberFormat="1" applyFill="1" applyBorder="1" applyAlignment="1">
      <alignment horizontal="center" vertical="center"/>
    </xf>
    <xf numFmtId="46" fontId="0" fillId="6" borderId="4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46" fontId="0" fillId="6" borderId="12" xfId="0" applyNumberFormat="1" applyFill="1" applyBorder="1" applyAlignment="1">
      <alignment horizontal="center" vertical="center"/>
    </xf>
    <xf numFmtId="46" fontId="0" fillId="6" borderId="6" xfId="0" applyNumberFormat="1" applyFill="1" applyBorder="1" applyAlignment="1">
      <alignment horizontal="center" vertical="center"/>
    </xf>
    <xf numFmtId="46" fontId="0" fillId="3" borderId="6" xfId="0" applyNumberFormat="1" applyFill="1" applyBorder="1" applyAlignment="1">
      <alignment horizontal="center" vertical="center"/>
    </xf>
    <xf numFmtId="46" fontId="0" fillId="6" borderId="20" xfId="0" applyNumberFormat="1" applyFill="1" applyBorder="1" applyAlignment="1">
      <alignment horizontal="center" vertical="center"/>
    </xf>
    <xf numFmtId="46" fontId="0" fillId="6" borderId="21" xfId="0" applyNumberForma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46" fontId="2" fillId="0" borderId="23" xfId="0" applyNumberFormat="1" applyFont="1" applyBorder="1" applyAlignment="1">
      <alignment horizontal="center"/>
    </xf>
    <xf numFmtId="46" fontId="2" fillId="0" borderId="24" xfId="0" applyNumberFormat="1" applyFont="1" applyBorder="1" applyAlignment="1">
      <alignment horizontal="center"/>
    </xf>
    <xf numFmtId="0" fontId="0" fillId="0" borderId="33" xfId="0" applyBorder="1" applyAlignment="1">
      <alignment horizontal="center" vertical="center"/>
    </xf>
    <xf numFmtId="14" fontId="0" fillId="0" borderId="33" xfId="0" applyNumberFormat="1" applyFill="1" applyBorder="1" applyAlignment="1">
      <alignment horizontal="center"/>
    </xf>
    <xf numFmtId="0" fontId="1" fillId="0" borderId="31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164" fontId="9" fillId="0" borderId="29" xfId="0" applyNumberFormat="1" applyFont="1" applyBorder="1" applyAlignment="1">
      <alignment horizontal="center"/>
    </xf>
    <xf numFmtId="164" fontId="9" fillId="0" borderId="13" xfId="0" applyNumberFormat="1" applyFont="1" applyBorder="1" applyAlignment="1">
      <alignment horizontal="center"/>
    </xf>
    <xf numFmtId="0" fontId="7" fillId="0" borderId="35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14" fontId="7" fillId="0" borderId="43" xfId="0" applyNumberFormat="1" applyFont="1" applyBorder="1" applyAlignment="1">
      <alignment horizontal="center"/>
    </xf>
    <xf numFmtId="14" fontId="7" fillId="0" borderId="44" xfId="0" applyNumberFormat="1" applyFont="1" applyBorder="1" applyAlignment="1">
      <alignment horizontal="center"/>
    </xf>
    <xf numFmtId="46" fontId="0" fillId="6" borderId="19" xfId="0" applyNumberFormat="1" applyFill="1" applyBorder="1" applyAlignment="1">
      <alignment horizontal="center" vertical="center"/>
    </xf>
    <xf numFmtId="46" fontId="0" fillId="6" borderId="18" xfId="0" applyNumberFormat="1" applyFill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46" fontId="2" fillId="0" borderId="25" xfId="0" applyNumberFormat="1" applyFont="1" applyBorder="1" applyAlignment="1">
      <alignment horizontal="center"/>
    </xf>
    <xf numFmtId="164" fontId="9" fillId="0" borderId="30" xfId="0" applyNumberFormat="1" applyFont="1" applyBorder="1" applyAlignment="1">
      <alignment horizontal="center"/>
    </xf>
    <xf numFmtId="0" fontId="16" fillId="6" borderId="54" xfId="0" applyFont="1" applyFill="1" applyBorder="1" applyAlignment="1">
      <alignment horizontal="center" vertical="center"/>
    </xf>
    <xf numFmtId="0" fontId="16" fillId="6" borderId="55" xfId="0" applyFont="1" applyFill="1" applyBorder="1" applyAlignment="1">
      <alignment horizontal="center" vertical="center"/>
    </xf>
    <xf numFmtId="0" fontId="16" fillId="6" borderId="56" xfId="0" applyFont="1" applyFill="1" applyBorder="1" applyAlignment="1">
      <alignment horizontal="center" vertical="center"/>
    </xf>
    <xf numFmtId="0" fontId="16" fillId="6" borderId="57" xfId="0" applyFont="1" applyFill="1" applyBorder="1" applyAlignment="1">
      <alignment horizontal="center" vertical="center"/>
    </xf>
    <xf numFmtId="0" fontId="16" fillId="6" borderId="58" xfId="0" applyFont="1" applyFill="1" applyBorder="1" applyAlignment="1">
      <alignment horizontal="center" vertical="center"/>
    </xf>
    <xf numFmtId="0" fontId="16" fillId="6" borderId="59" xfId="0" applyFont="1" applyFill="1" applyBorder="1" applyAlignment="1">
      <alignment horizontal="center" vertical="center"/>
    </xf>
    <xf numFmtId="14" fontId="0" fillId="3" borderId="7" xfId="0" applyNumberFormat="1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46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6" fontId="0" fillId="2" borderId="1" xfId="0" applyNumberFormat="1" applyFill="1" applyBorder="1" applyAlignment="1">
      <alignment horizontal="center" vertical="center"/>
    </xf>
    <xf numFmtId="46" fontId="0" fillId="2" borderId="7" xfId="0" applyNumberFormat="1" applyFill="1" applyBorder="1" applyAlignment="1">
      <alignment horizontal="center" vertical="center"/>
    </xf>
    <xf numFmtId="46" fontId="0" fillId="3" borderId="1" xfId="0" applyNumberFormat="1" applyFill="1" applyBorder="1" applyAlignment="1">
      <alignment horizontal="center" vertical="center"/>
    </xf>
    <xf numFmtId="14" fontId="0" fillId="3" borderId="11" xfId="0" applyNumberFormat="1" applyFill="1" applyBorder="1" applyAlignment="1">
      <alignment horizontal="center" vertical="center"/>
    </xf>
    <xf numFmtId="46" fontId="0" fillId="2" borderId="11" xfId="0" applyNumberForma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46" fontId="0" fillId="2" borderId="53" xfId="0" applyNumberFormat="1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8CBAD"/>
      <color rgb="FFFFCCCC"/>
      <color rgb="FFBD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A$50" lockText="1" noThreeD="1"/>
</file>

<file path=xl/ctrlProps/ctrlProp2.xml><?xml version="1.0" encoding="utf-8"?>
<formControlPr xmlns="http://schemas.microsoft.com/office/spreadsheetml/2009/9/main" objectType="CheckBox" checked="Checked" fmlaLink="$A$51" lockText="1" noThreeD="1"/>
</file>

<file path=xl/ctrlProps/ctrlProp3.xml><?xml version="1.0" encoding="utf-8"?>
<formControlPr xmlns="http://schemas.microsoft.com/office/spreadsheetml/2009/9/main" objectType="CheckBox" checked="Checked" fmlaLink="$A$52" lockText="1" noThreeD="1"/>
</file>

<file path=xl/ctrlProps/ctrlProp4.xml><?xml version="1.0" encoding="utf-8"?>
<formControlPr xmlns="http://schemas.microsoft.com/office/spreadsheetml/2009/9/main" objectType="CheckBox" checked="Checked" fmlaLink="$A$53" lockText="1" noThreeD="1"/>
</file>

<file path=xl/ctrlProps/ctrlProp5.xml><?xml version="1.0" encoding="utf-8"?>
<formControlPr xmlns="http://schemas.microsoft.com/office/spreadsheetml/2009/9/main" objectType="CheckBox" checked="Checked" fmlaLink="$A$54" lockText="1" noThreeD="1"/>
</file>

<file path=xl/ctrlProps/ctrlProp6.xml><?xml version="1.0" encoding="utf-8"?>
<formControlPr xmlns="http://schemas.microsoft.com/office/spreadsheetml/2009/9/main" objectType="CheckBox" checked="Checked" fmlaLink="$A$55" lockText="1" noThreeD="1"/>
</file>

<file path=xl/ctrlProps/ctrlProp7.xml><?xml version="1.0" encoding="utf-8"?>
<formControlPr xmlns="http://schemas.microsoft.com/office/spreadsheetml/2009/9/main" objectType="CheckBox" checked="Checked" fmlaLink="$A$56" lockText="1" noThreeD="1"/>
</file>

<file path=xl/ctrlProps/ctrlProp8.xml><?xml version="1.0" encoding="utf-8"?>
<formControlPr xmlns="http://schemas.microsoft.com/office/spreadsheetml/2009/9/main" objectType="CheckBox" checked="Checked" fmlaLink="$A$57" lockText="1" noThreeD="1"/>
</file>

<file path=xl/ctrlProps/ctrlProp9.xml><?xml version="1.0" encoding="utf-8"?>
<formControlPr xmlns="http://schemas.microsoft.com/office/spreadsheetml/2009/9/main" objectType="CheckBox" fmlaLink="$A$58" lockText="1" noThreeD="1"/>
</file>

<file path=xl/ctrlProps/ctrlProp10.xml><?xml version="1.0" encoding="utf-8"?>
<formControlPr xmlns="http://schemas.microsoft.com/office/spreadsheetml/2009/9/main" objectType="CheckBox" fmlaLink="$A$59" lockText="1" noThreeD="1"/>
</file>

<file path=xl/ctrlProps/ctrlProp11.xml><?xml version="1.0" encoding="utf-8"?>
<formControlPr xmlns="http://schemas.microsoft.com/office/spreadsheetml/2009/9/main" objectType="CheckBox" fmlaLink="$A$60" lockText="1" noThreeD="1"/>
</file>

<file path=xl/ctrlProps/ctrlProp12.xml><?xml version="1.0" encoding="utf-8"?>
<formControlPr xmlns="http://schemas.microsoft.com/office/spreadsheetml/2009/9/main" objectType="CheckBox" fmlaLink="$A$61" lockText="1" noThreeD="1"/>
</file>

<file path=xl/ctrlProps/ctrlProp13.xml><?xml version="1.0" encoding="utf-8"?>
<formControlPr xmlns="http://schemas.microsoft.com/office/spreadsheetml/2009/9/main" objectType="CheckBox" fmlaLink="$A$62" lockText="1" noThreeD="1"/>
</file>

<file path=xl/ctrlProps/ctrlProp14.xml><?xml version="1.0" encoding="utf-8"?>
<formControlPr xmlns="http://schemas.microsoft.com/office/spreadsheetml/2009/9/main" objectType="CheckBox" checked="Checked" fmlaLink="$A$49" lockText="1" noThreeD="1"/>
</file>

<file path=xl/ctrlProps/ctrlProp15.xml><?xml version="1.0" encoding="utf-8"?>
<formControlPr xmlns="http://schemas.microsoft.com/office/spreadsheetml/2009/9/main" objectType="CheckBox" fmlaLink="$A$63" lockText="1" noThreeD="1"/>
</file>

<file path=xl/ctrlProps/ctrlProp16.xml><?xml version="1.0" encoding="utf-8"?>
<formControlPr xmlns="http://schemas.microsoft.com/office/spreadsheetml/2009/9/main" objectType="CheckBox" fmlaLink="$A$64" lockText="1" noThreeD="1"/>
</file>

<file path=xl/ctrlProps/ctrlProp17.xml><?xml version="1.0" encoding="utf-8"?>
<formControlPr xmlns="http://schemas.microsoft.com/office/spreadsheetml/2009/9/main" objectType="CheckBox" fmlaLink="$A$65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</xdr:row>
          <xdr:rowOff>28575</xdr:rowOff>
        </xdr:from>
        <xdr:to>
          <xdr:col>7</xdr:col>
          <xdr:colOff>790575</xdr:colOff>
          <xdr:row>7</xdr:row>
          <xdr:rowOff>171450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28575</xdr:rowOff>
        </xdr:from>
        <xdr:to>
          <xdr:col>7</xdr:col>
          <xdr:colOff>790575</xdr:colOff>
          <xdr:row>9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28575</xdr:rowOff>
        </xdr:from>
        <xdr:to>
          <xdr:col>7</xdr:col>
          <xdr:colOff>790575</xdr:colOff>
          <xdr:row>11</xdr:row>
          <xdr:rowOff>171450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12</xdr:row>
          <xdr:rowOff>28575</xdr:rowOff>
        </xdr:from>
        <xdr:to>
          <xdr:col>7</xdr:col>
          <xdr:colOff>790575</xdr:colOff>
          <xdr:row>13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14</xdr:row>
          <xdr:rowOff>28575</xdr:rowOff>
        </xdr:from>
        <xdr:to>
          <xdr:col>7</xdr:col>
          <xdr:colOff>790575</xdr:colOff>
          <xdr:row>15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16</xdr:row>
          <xdr:rowOff>28575</xdr:rowOff>
        </xdr:from>
        <xdr:to>
          <xdr:col>7</xdr:col>
          <xdr:colOff>790575</xdr:colOff>
          <xdr:row>17</xdr:row>
          <xdr:rowOff>180975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18</xdr:row>
          <xdr:rowOff>28575</xdr:rowOff>
        </xdr:from>
        <xdr:to>
          <xdr:col>7</xdr:col>
          <xdr:colOff>790575</xdr:colOff>
          <xdr:row>19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28575</xdr:rowOff>
        </xdr:from>
        <xdr:to>
          <xdr:col>7</xdr:col>
          <xdr:colOff>790575</xdr:colOff>
          <xdr:row>21</xdr:row>
          <xdr:rowOff>180975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22</xdr:row>
          <xdr:rowOff>28575</xdr:rowOff>
        </xdr:from>
        <xdr:to>
          <xdr:col>7</xdr:col>
          <xdr:colOff>790575</xdr:colOff>
          <xdr:row>23</xdr:row>
          <xdr:rowOff>180975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24</xdr:row>
          <xdr:rowOff>28575</xdr:rowOff>
        </xdr:from>
        <xdr:to>
          <xdr:col>7</xdr:col>
          <xdr:colOff>790575</xdr:colOff>
          <xdr:row>25</xdr:row>
          <xdr:rowOff>180975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26</xdr:row>
          <xdr:rowOff>28575</xdr:rowOff>
        </xdr:from>
        <xdr:to>
          <xdr:col>7</xdr:col>
          <xdr:colOff>790575</xdr:colOff>
          <xdr:row>27</xdr:row>
          <xdr:rowOff>180975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28575</xdr:rowOff>
        </xdr:from>
        <xdr:to>
          <xdr:col>7</xdr:col>
          <xdr:colOff>790575</xdr:colOff>
          <xdr:row>29</xdr:row>
          <xdr:rowOff>180975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30</xdr:row>
          <xdr:rowOff>28575</xdr:rowOff>
        </xdr:from>
        <xdr:to>
          <xdr:col>7</xdr:col>
          <xdr:colOff>790575</xdr:colOff>
          <xdr:row>31</xdr:row>
          <xdr:rowOff>180975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</xdr:row>
          <xdr:rowOff>28575</xdr:rowOff>
        </xdr:from>
        <xdr:to>
          <xdr:col>7</xdr:col>
          <xdr:colOff>790575</xdr:colOff>
          <xdr:row>5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32</xdr:row>
          <xdr:rowOff>28575</xdr:rowOff>
        </xdr:from>
        <xdr:to>
          <xdr:col>7</xdr:col>
          <xdr:colOff>790575</xdr:colOff>
          <xdr:row>33</xdr:row>
          <xdr:rowOff>180975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34</xdr:row>
          <xdr:rowOff>28575</xdr:rowOff>
        </xdr:from>
        <xdr:to>
          <xdr:col>7</xdr:col>
          <xdr:colOff>790575</xdr:colOff>
          <xdr:row>35</xdr:row>
          <xdr:rowOff>180975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36</xdr:row>
          <xdr:rowOff>28575</xdr:rowOff>
        </xdr:from>
        <xdr:to>
          <xdr:col>7</xdr:col>
          <xdr:colOff>790575</xdr:colOff>
          <xdr:row>37</xdr:row>
          <xdr:rowOff>171450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1</xdr:row>
          <xdr:rowOff>19050</xdr:rowOff>
        </xdr:from>
        <xdr:to>
          <xdr:col>1</xdr:col>
          <xdr:colOff>1381125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1685925</xdr:colOff>
          <xdr:row>1</xdr:row>
          <xdr:rowOff>9525</xdr:rowOff>
        </xdr:from>
        <xdr:to>
          <xdr:col>1</xdr:col>
          <xdr:colOff>2619375</xdr:colOff>
          <xdr:row>3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180975</xdr:rowOff>
        </xdr:from>
        <xdr:to>
          <xdr:col>3</xdr:col>
          <xdr:colOff>428625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Anwenden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D723-46E3-4727-8F4C-FA259F9372A1}">
  <sheetPr codeName="Tabelle1"/>
  <dimension ref="A1:AH65"/>
  <sheetViews>
    <sheetView tabSelected="1" zoomScaleNormal="100" workbookViewId="0">
      <selection activeCell="X41" sqref="X41"/>
    </sheetView>
  </sheetViews>
  <sheetFormatPr baseColWidth="10" defaultRowHeight="15" x14ac:dyDescent="0.25"/>
  <cols>
    <col min="1" max="1" width="13.28515625" customWidth="1"/>
    <col min="8" max="8" width="15.42578125" customWidth="1"/>
    <col min="10" max="10" width="11.42578125" customWidth="1"/>
    <col min="27" max="27" width="11.42578125" customWidth="1"/>
  </cols>
  <sheetData>
    <row r="1" spans="1:34" ht="36" x14ac:dyDescent="0.55000000000000004">
      <c r="A1" s="148" t="s">
        <v>0</v>
      </c>
      <c r="B1" s="148"/>
      <c r="C1" s="148"/>
      <c r="D1" s="148"/>
      <c r="E1" s="148"/>
      <c r="F1" s="148"/>
      <c r="G1" s="148"/>
      <c r="H1" s="148"/>
      <c r="I1" s="148"/>
    </row>
    <row r="2" spans="1:34" ht="15.75" thickBot="1" x14ac:dyDescent="0.3">
      <c r="B2" s="1"/>
    </row>
    <row r="3" spans="1:34" ht="15.75" x14ac:dyDescent="0.25">
      <c r="A3" s="16" t="s">
        <v>9</v>
      </c>
      <c r="B3" s="16" t="s">
        <v>10</v>
      </c>
      <c r="H3" s="164" t="s">
        <v>42</v>
      </c>
      <c r="I3" s="151" t="s">
        <v>49</v>
      </c>
      <c r="J3" s="152"/>
      <c r="K3" s="152"/>
      <c r="L3" s="151" t="s">
        <v>50</v>
      </c>
      <c r="M3" s="152"/>
      <c r="N3" s="152"/>
      <c r="O3" s="151" t="s">
        <v>54</v>
      </c>
      <c r="P3" s="152"/>
      <c r="Q3" s="152"/>
      <c r="R3" s="151" t="s">
        <v>53</v>
      </c>
      <c r="S3" s="152"/>
      <c r="T3" s="176"/>
      <c r="U3" s="151" t="s">
        <v>52</v>
      </c>
      <c r="V3" s="152"/>
      <c r="W3" s="176"/>
      <c r="X3" s="151" t="s">
        <v>51</v>
      </c>
      <c r="Y3" s="152"/>
      <c r="Z3" s="176"/>
    </row>
    <row r="4" spans="1:34" x14ac:dyDescent="0.25">
      <c r="A4" s="8" t="s">
        <v>7</v>
      </c>
      <c r="B4" s="9">
        <v>42482</v>
      </c>
      <c r="C4" s="133" t="s">
        <v>11</v>
      </c>
      <c r="D4" s="143" t="s">
        <v>37</v>
      </c>
      <c r="E4" s="14"/>
      <c r="F4" s="14"/>
      <c r="G4" s="14"/>
      <c r="H4" s="165"/>
      <c r="I4" s="19" t="s">
        <v>38</v>
      </c>
      <c r="J4" s="18" t="s">
        <v>39</v>
      </c>
      <c r="K4" s="18" t="s">
        <v>40</v>
      </c>
      <c r="L4" s="19" t="s">
        <v>38</v>
      </c>
      <c r="M4" s="18" t="s">
        <v>39</v>
      </c>
      <c r="N4" s="18" t="s">
        <v>40</v>
      </c>
      <c r="O4" s="19" t="s">
        <v>38</v>
      </c>
      <c r="P4" s="18" t="s">
        <v>39</v>
      </c>
      <c r="Q4" s="18" t="s">
        <v>40</v>
      </c>
      <c r="R4" s="19" t="s">
        <v>38</v>
      </c>
      <c r="S4" s="18" t="s">
        <v>39</v>
      </c>
      <c r="T4" s="18" t="s">
        <v>40</v>
      </c>
      <c r="U4" s="19" t="s">
        <v>38</v>
      </c>
      <c r="V4" s="18" t="s">
        <v>39</v>
      </c>
      <c r="W4" s="18" t="s">
        <v>40</v>
      </c>
      <c r="X4" s="19" t="s">
        <v>38</v>
      </c>
      <c r="Y4" s="18" t="s">
        <v>39</v>
      </c>
      <c r="Z4" s="24" t="s">
        <v>40</v>
      </c>
    </row>
    <row r="5" spans="1:34" x14ac:dyDescent="0.25">
      <c r="A5" s="3" t="s">
        <v>8</v>
      </c>
      <c r="B5" s="4">
        <v>42486</v>
      </c>
      <c r="C5" s="134"/>
      <c r="D5" s="144"/>
      <c r="E5" s="28"/>
      <c r="F5" s="29"/>
      <c r="G5" s="30"/>
      <c r="H5" s="162"/>
      <c r="I5" s="156">
        <f>Pellekoorne!I4</f>
        <v>0.66666666666666663</v>
      </c>
      <c r="J5" s="146">
        <f>IF(A49=FALSE,I39/C42,I39/17)</f>
        <v>0.66176470588235292</v>
      </c>
      <c r="K5" s="153">
        <f>ROUNDDOWN(J5-I5,6)</f>
        <v>-4.901E-3</v>
      </c>
      <c r="L5" s="156">
        <f>Gutsche!I4</f>
        <v>0.75694444444444442</v>
      </c>
      <c r="M5" s="146">
        <f>IF(A49=FALSE,L39/C42,L39/17)</f>
        <v>0.66176470588235292</v>
      </c>
      <c r="N5" s="153">
        <f>ROUNDDOWN(M5-L5,6)</f>
        <v>-9.5179E-2</v>
      </c>
      <c r="O5" s="156">
        <f>Lapp!I4</f>
        <v>0.625</v>
      </c>
      <c r="P5" s="146">
        <f>IF(A49=FALSE,O39/C42,O39/17)</f>
        <v>0.66176470588235292</v>
      </c>
      <c r="Q5" s="153">
        <f t="shared" ref="Q5" si="0">ROUNDDOWN(P5-O5,6)</f>
        <v>3.6763999999999998E-2</v>
      </c>
      <c r="R5" s="156">
        <f>Martschenko!I4</f>
        <v>0.5625</v>
      </c>
      <c r="S5" s="146">
        <f>IF(A49=FALSE,R39/C42,R39/17)</f>
        <v>0.66176470588235292</v>
      </c>
      <c r="T5" s="174">
        <f t="shared" ref="T5" si="1">ROUNDDOWN(S5-R5,6)</f>
        <v>9.9264000000000005E-2</v>
      </c>
      <c r="U5" s="156">
        <f>Soboth!I4</f>
        <v>0.5</v>
      </c>
      <c r="V5" s="146">
        <f>IF(A49=FALSE,U39/C42,U39/14)</f>
        <v>0.8035714285714286</v>
      </c>
      <c r="W5" s="174">
        <f t="shared" ref="W5" si="2">ROUNDDOWN(V5-U5,6)</f>
        <v>0.30357099999999998</v>
      </c>
      <c r="X5" s="156">
        <f>Stephan!I4</f>
        <v>0.52083333333333337</v>
      </c>
      <c r="Y5" s="146">
        <f>IF(A49=FALSE,X39/C42,X39/17)</f>
        <v>0.66176470588235292</v>
      </c>
      <c r="Z5" s="174">
        <f t="shared" ref="Z5" si="3">ROUNDDOWN(Y5-X5,6)</f>
        <v>0.140931</v>
      </c>
    </row>
    <row r="6" spans="1:34" x14ac:dyDescent="0.25">
      <c r="A6" s="10" t="s">
        <v>7</v>
      </c>
      <c r="B6" s="11">
        <v>42489</v>
      </c>
      <c r="C6" s="133" t="s">
        <v>12</v>
      </c>
      <c r="D6" s="145"/>
      <c r="E6" s="25"/>
      <c r="F6" s="26"/>
      <c r="G6" s="27"/>
      <c r="H6" s="162"/>
      <c r="I6" s="157"/>
      <c r="J6" s="147"/>
      <c r="K6" s="154"/>
      <c r="L6" s="157"/>
      <c r="M6" s="147"/>
      <c r="N6" s="154"/>
      <c r="O6" s="157"/>
      <c r="P6" s="147"/>
      <c r="Q6" s="154"/>
      <c r="R6" s="157"/>
      <c r="S6" s="147"/>
      <c r="T6" s="175"/>
      <c r="U6" s="157"/>
      <c r="V6" s="147"/>
      <c r="W6" s="175"/>
      <c r="X6" s="157"/>
      <c r="Y6" s="147"/>
      <c r="Z6" s="175"/>
    </row>
    <row r="7" spans="1:34" ht="15.75" thickBot="1" x14ac:dyDescent="0.3">
      <c r="A7" s="5" t="s">
        <v>8</v>
      </c>
      <c r="B7" s="5">
        <v>42493</v>
      </c>
      <c r="C7" s="135"/>
      <c r="D7" s="132" t="s">
        <v>1</v>
      </c>
      <c r="E7" s="172" t="s">
        <v>35</v>
      </c>
      <c r="F7" s="173"/>
      <c r="G7" s="30"/>
      <c r="H7" s="139"/>
      <c r="I7" s="121">
        <f>Pellekoorne!I6</f>
        <v>0.86458333333333326</v>
      </c>
      <c r="J7" s="128">
        <f>IF(A50=FALSE,I40/C42,(I39-I5)/16)</f>
        <v>0.66145833333333337</v>
      </c>
      <c r="K7" s="129">
        <f t="shared" ref="K7" si="4">J7-I7</f>
        <v>-0.20312499999999989</v>
      </c>
      <c r="L7" s="121">
        <f>Gutsche!I6</f>
        <v>0.65833333333333333</v>
      </c>
      <c r="M7" s="128">
        <f>IF(A50=FALSE,L40/C42,(L39-L5)/16)</f>
        <v>0.65581597222222221</v>
      </c>
      <c r="N7" s="129">
        <f t="shared" ref="N7" si="5">M7-L7</f>
        <v>-2.517361111111116E-3</v>
      </c>
      <c r="O7" s="121">
        <f>Lapp!I6</f>
        <v>0.85763888888888895</v>
      </c>
      <c r="P7" s="128">
        <f>IF(A50=FALSE,O40/C42,(O39-O5)/16)</f>
        <v>0.6640625</v>
      </c>
      <c r="Q7" s="129">
        <f t="shared" ref="Q7" si="6">P7-O7</f>
        <v>-0.19357638888888895</v>
      </c>
      <c r="R7" s="121">
        <f>Martschenko!I6</f>
        <v>0.48611111111111105</v>
      </c>
      <c r="S7" s="128">
        <f>IF(A50=FALSE,R40/C42,(R39-R5)/16)</f>
        <v>0.66796875</v>
      </c>
      <c r="T7" s="125">
        <f t="shared" ref="T7" si="7">S7-R7</f>
        <v>0.18185763888888895</v>
      </c>
      <c r="U7" s="121">
        <f>Soboth!I6</f>
        <v>0.54166666666666674</v>
      </c>
      <c r="V7" s="128">
        <f>IF(A50=FALSE,U40/C42,(U39-U5)/13)</f>
        <v>0.82692307692307687</v>
      </c>
      <c r="W7" s="125">
        <f t="shared" ref="W7" si="8">V7-U7</f>
        <v>0.28525641025641013</v>
      </c>
      <c r="X7" s="121">
        <f>Stephan!I6</f>
        <v>0.69374999999999987</v>
      </c>
      <c r="Y7" s="128">
        <f>IF(A50=FALSE,X40/C42,(X39-X5)/16)</f>
        <v>0.67057291666666663</v>
      </c>
      <c r="Z7" s="125">
        <f t="shared" ref="Z7" si="9">Y7-X7</f>
        <v>-2.3177083333333237E-2</v>
      </c>
    </row>
    <row r="8" spans="1:34" x14ac:dyDescent="0.25">
      <c r="A8" s="8" t="s">
        <v>7</v>
      </c>
      <c r="B8" s="9">
        <v>42496</v>
      </c>
      <c r="C8" s="142" t="s">
        <v>13</v>
      </c>
      <c r="D8" s="132"/>
      <c r="E8" s="31"/>
      <c r="F8" s="2"/>
      <c r="G8" s="32"/>
      <c r="H8" s="139"/>
      <c r="I8" s="122"/>
      <c r="J8" s="124"/>
      <c r="K8" s="155"/>
      <c r="L8" s="122"/>
      <c r="M8" s="124"/>
      <c r="N8" s="155"/>
      <c r="O8" s="122"/>
      <c r="P8" s="124"/>
      <c r="Q8" s="155"/>
      <c r="R8" s="122"/>
      <c r="S8" s="124"/>
      <c r="T8" s="126"/>
      <c r="U8" s="122"/>
      <c r="V8" s="124"/>
      <c r="W8" s="126"/>
      <c r="X8" s="122"/>
      <c r="Y8" s="124"/>
      <c r="Z8" s="126"/>
    </row>
    <row r="9" spans="1:34" x14ac:dyDescent="0.25">
      <c r="A9" s="3" t="s">
        <v>8</v>
      </c>
      <c r="B9" s="4">
        <v>42500</v>
      </c>
      <c r="C9" s="134"/>
      <c r="D9" s="131" t="s">
        <v>2</v>
      </c>
      <c r="E9" s="28"/>
      <c r="F9" s="33"/>
      <c r="G9" s="34"/>
      <c r="H9" s="163"/>
      <c r="I9" s="156">
        <f>Pellekoorne!I8</f>
        <v>0.6923611111111112</v>
      </c>
      <c r="J9" s="146">
        <f>IF(A51=FALSE,I40/C42,(I39-I5-I7)/15)</f>
        <v>0.6479166666666667</v>
      </c>
      <c r="K9" s="153">
        <f t="shared" ref="K9" si="10">J9-I9</f>
        <v>-4.4444444444444509E-2</v>
      </c>
      <c r="L9" s="156">
        <f>Gutsche!I8</f>
        <v>0.69930555555555562</v>
      </c>
      <c r="M9" s="146">
        <f>IF(A51=FALSE,L40/C42,(L39-L5-L7)/15)</f>
        <v>0.65564814814814809</v>
      </c>
      <c r="N9" s="153">
        <f t="shared" ref="N9" si="11">M9-L9</f>
        <v>-4.3657407407407534E-2</v>
      </c>
      <c r="O9" s="156">
        <f>Lapp!I8</f>
        <v>0.87152777777777779</v>
      </c>
      <c r="P9" s="146">
        <f>IF(A51=FALSE,O40/C42,(O39-O5-O7)/15)</f>
        <v>0.65115740740740735</v>
      </c>
      <c r="Q9" s="153">
        <f t="shared" ref="Q9" si="12">P9-O9</f>
        <v>-0.22037037037037044</v>
      </c>
      <c r="R9" s="156">
        <f>Martschenko!I8</f>
        <v>1.0222222222222224</v>
      </c>
      <c r="S9" s="146">
        <f>IF(A51=FALSE,R40/C42,(R39-R5-R7)/15)</f>
        <v>0.68009259259259258</v>
      </c>
      <c r="T9" s="174">
        <f t="shared" ref="T9" si="13">S9-R9</f>
        <v>-0.34212962962962978</v>
      </c>
      <c r="U9" s="156">
        <f>Soboth!I8</f>
        <v>0.46180555555555552</v>
      </c>
      <c r="V9" s="146">
        <f>IF(A51=FALSE,U40/C42,(U39-U5-U7)/12)</f>
        <v>0.85069444444444453</v>
      </c>
      <c r="W9" s="174">
        <f t="shared" ref="W9" si="14">V9-U9</f>
        <v>0.38888888888888901</v>
      </c>
      <c r="X9" s="156">
        <f>Stephan!I8</f>
        <v>0.75138888888888888</v>
      </c>
      <c r="Y9" s="146">
        <f>IF(A51=FALSE,X40/C42,(X39-X5-X7)/15)</f>
        <v>0.66902777777777778</v>
      </c>
      <c r="Z9" s="174">
        <f t="shared" ref="Z9" si="15">Y9-X9</f>
        <v>-8.2361111111111107E-2</v>
      </c>
    </row>
    <row r="10" spans="1:34" x14ac:dyDescent="0.25">
      <c r="A10" s="8" t="s">
        <v>7</v>
      </c>
      <c r="B10" s="11">
        <v>42503</v>
      </c>
      <c r="C10" s="133" t="s">
        <v>14</v>
      </c>
      <c r="D10" s="131"/>
      <c r="E10" s="31"/>
      <c r="F10" s="2"/>
      <c r="G10" s="32"/>
      <c r="H10" s="163"/>
      <c r="I10" s="157"/>
      <c r="J10" s="147"/>
      <c r="K10" s="154"/>
      <c r="L10" s="157"/>
      <c r="M10" s="147"/>
      <c r="N10" s="154"/>
      <c r="O10" s="157"/>
      <c r="P10" s="147"/>
      <c r="Q10" s="154"/>
      <c r="R10" s="157"/>
      <c r="S10" s="147"/>
      <c r="T10" s="175"/>
      <c r="U10" s="157"/>
      <c r="V10" s="147"/>
      <c r="W10" s="175"/>
      <c r="X10" s="157"/>
      <c r="Y10" s="147"/>
      <c r="Z10" s="175"/>
    </row>
    <row r="11" spans="1:34" ht="15.75" thickBot="1" x14ac:dyDescent="0.3">
      <c r="A11" s="6" t="s">
        <v>8</v>
      </c>
      <c r="B11" s="5">
        <v>42507</v>
      </c>
      <c r="C11" s="135"/>
      <c r="D11" s="132" t="s">
        <v>3</v>
      </c>
      <c r="E11" s="170" t="s">
        <v>36</v>
      </c>
      <c r="F11" s="171"/>
      <c r="G11" s="30"/>
      <c r="H11" s="139"/>
      <c r="I11" s="121">
        <f>Pellekoorne!I10</f>
        <v>0.67708333333333337</v>
      </c>
      <c r="J11" s="128">
        <f>IF(A52=FALSE,I40/C42,(I39-I5-I7-I9)/14)</f>
        <v>0.64474206349206342</v>
      </c>
      <c r="K11" s="129">
        <f t="shared" ref="K11" si="16">J11-I11</f>
        <v>-3.2341269841269948E-2</v>
      </c>
      <c r="L11" s="121">
        <f>Gutsche!I10</f>
        <v>0.56666666666666665</v>
      </c>
      <c r="M11" s="128">
        <f>IF(A52=FALSE,L40/C42,(L39-L5-L7-L9)/14)</f>
        <v>0.65252976190476186</v>
      </c>
      <c r="N11" s="129">
        <f t="shared" ref="N11" si="17">M11-L11</f>
        <v>8.5863095238095211E-2</v>
      </c>
      <c r="O11" s="121">
        <f>Lapp!I10</f>
        <v>0.73263888888888884</v>
      </c>
      <c r="P11" s="128">
        <f>IF(A52=FALSE,O40/C42,(O39-O5-O7-O9)/14)</f>
        <v>0.63541666666666663</v>
      </c>
      <c r="Q11" s="129">
        <f t="shared" ref="Q11" si="18">P11-O11</f>
        <v>-9.722222222222221E-2</v>
      </c>
      <c r="R11" s="121">
        <f>Martschenko!I10</f>
        <v>0.50347222222222221</v>
      </c>
      <c r="S11" s="128">
        <f>IF(A52=FALSE,R40/C42,(R39-R5-R7-R9)/14)</f>
        <v>0.65565476190476191</v>
      </c>
      <c r="T11" s="125">
        <f t="shared" ref="T11" si="19">S11-R11</f>
        <v>0.1521825396825397</v>
      </c>
      <c r="U11" s="121">
        <f>Soboth!I10</f>
        <v>0.63194444444444442</v>
      </c>
      <c r="V11" s="128">
        <f>IF(A52=FALSE,U40/C42,(U39-U5-U7-U9)/11)</f>
        <v>0.88604797979797989</v>
      </c>
      <c r="W11" s="125">
        <f t="shared" ref="W11" si="20">V11-U11</f>
        <v>0.25410353535353547</v>
      </c>
      <c r="X11" s="121">
        <f>Stephan!I10</f>
        <v>0.81527777777777777</v>
      </c>
      <c r="Y11" s="128">
        <f>IF(A52=FALSE,X40/C42,(X39-X5-X7-X9)/14)</f>
        <v>0.6631448412698413</v>
      </c>
      <c r="Z11" s="125">
        <f t="shared" ref="Z11" si="21">Y11-X11</f>
        <v>-0.15213293650793647</v>
      </c>
    </row>
    <row r="12" spans="1:34" x14ac:dyDescent="0.25">
      <c r="A12" s="8" t="s">
        <v>7</v>
      </c>
      <c r="B12" s="9">
        <v>42510</v>
      </c>
      <c r="C12" s="142" t="s">
        <v>15</v>
      </c>
      <c r="D12" s="132"/>
      <c r="E12" s="31"/>
      <c r="F12" s="2"/>
      <c r="G12" s="32"/>
      <c r="H12" s="139"/>
      <c r="I12" s="122"/>
      <c r="J12" s="124"/>
      <c r="K12" s="155"/>
      <c r="L12" s="122"/>
      <c r="M12" s="124"/>
      <c r="N12" s="155"/>
      <c r="O12" s="122"/>
      <c r="P12" s="124"/>
      <c r="Q12" s="155"/>
      <c r="R12" s="122"/>
      <c r="S12" s="124"/>
      <c r="T12" s="126"/>
      <c r="U12" s="122"/>
      <c r="V12" s="124"/>
      <c r="W12" s="126"/>
      <c r="X12" s="122"/>
      <c r="Y12" s="124"/>
      <c r="Z12" s="126"/>
    </row>
    <row r="13" spans="1:34" x14ac:dyDescent="0.25">
      <c r="A13" s="3" t="s">
        <v>8</v>
      </c>
      <c r="B13" s="4">
        <v>42514</v>
      </c>
      <c r="C13" s="134"/>
      <c r="D13" s="131" t="s">
        <v>4</v>
      </c>
      <c r="E13" s="28"/>
      <c r="F13" s="29"/>
      <c r="G13" s="30"/>
      <c r="H13" s="139"/>
      <c r="I13" s="156">
        <f>Pellekoorne!I12</f>
        <v>0.76180555555555562</v>
      </c>
      <c r="J13" s="146">
        <f>IF(A53=FALSE,I40/C42,(I39-I5-I7-I9-I11)/13)</f>
        <v>0.64225427350427344</v>
      </c>
      <c r="K13" s="153">
        <f t="shared" ref="K13" si="22">J13-I13</f>
        <v>-0.11955128205128218</v>
      </c>
      <c r="L13" s="156">
        <f>Gutsche!I12</f>
        <v>0.5131944444444444</v>
      </c>
      <c r="M13" s="146">
        <f>IF(A53=FALSE,L40/C42,(L39-L5-L7-L9-L11)/13)</f>
        <v>0.65913461538461537</v>
      </c>
      <c r="N13" s="153">
        <f t="shared" ref="N13" si="23">M13-L13</f>
        <v>0.14594017094017098</v>
      </c>
      <c r="O13" s="156">
        <f>Lapp!I12</f>
        <v>0.77916666666666679</v>
      </c>
      <c r="P13" s="146">
        <f>IF(A53=FALSE,O40/C42,(O39-O5-O7-O9-O11)/13)</f>
        <v>0.62793803418803407</v>
      </c>
      <c r="Q13" s="153">
        <f t="shared" ref="Q13" si="24">P13-O13</f>
        <v>-0.15122863247863272</v>
      </c>
      <c r="R13" s="156">
        <f>Martschenko!I12</f>
        <v>0.59513888888888888</v>
      </c>
      <c r="S13" s="146">
        <f>IF(A53=FALSE,R40/C42,(R39-R5-R7-R9-R11)/13)</f>
        <v>0.66736111111111118</v>
      </c>
      <c r="T13" s="174">
        <f t="shared" ref="T13" si="25">S13-R13</f>
        <v>7.2222222222222299E-2</v>
      </c>
      <c r="U13" s="156">
        <f>Soboth!I12</f>
        <v>0.40277777777777779</v>
      </c>
      <c r="V13" s="146">
        <f>IF(A53=FALSE,U40/C42,(U39-U5-U7-U9-U11)/10)</f>
        <v>0.91145833333333337</v>
      </c>
      <c r="W13" s="174">
        <f t="shared" ref="W13" si="26">V13-U13</f>
        <v>0.50868055555555558</v>
      </c>
      <c r="X13" s="156">
        <f>Stephan!I12</f>
        <v>0.56944444444444442</v>
      </c>
      <c r="Y13" s="146">
        <f>IF(A53=FALSE,X40/C42,(X39-X5-X7-X9-X11)/13)</f>
        <v>0.65144230769230771</v>
      </c>
      <c r="Z13" s="174">
        <f t="shared" ref="Z13" si="27">Y13-X13</f>
        <v>8.199786324786329E-2</v>
      </c>
    </row>
    <row r="14" spans="1:34" x14ac:dyDescent="0.25">
      <c r="A14" s="8" t="s">
        <v>7</v>
      </c>
      <c r="B14" s="11">
        <v>42517</v>
      </c>
      <c r="C14" s="133" t="s">
        <v>16</v>
      </c>
      <c r="D14" s="131"/>
      <c r="E14" s="31"/>
      <c r="F14" s="2"/>
      <c r="G14" s="32"/>
      <c r="H14" s="139"/>
      <c r="I14" s="157"/>
      <c r="J14" s="147"/>
      <c r="K14" s="154"/>
      <c r="L14" s="157"/>
      <c r="M14" s="147"/>
      <c r="N14" s="154"/>
      <c r="O14" s="157"/>
      <c r="P14" s="147"/>
      <c r="Q14" s="154"/>
      <c r="R14" s="157"/>
      <c r="S14" s="147"/>
      <c r="T14" s="175"/>
      <c r="U14" s="157"/>
      <c r="V14" s="147"/>
      <c r="W14" s="175"/>
      <c r="X14" s="157"/>
      <c r="Y14" s="147"/>
      <c r="Z14" s="175"/>
    </row>
    <row r="15" spans="1:34" x14ac:dyDescent="0.25">
      <c r="A15" s="4" t="s">
        <v>8</v>
      </c>
      <c r="B15" s="12">
        <v>42521</v>
      </c>
      <c r="C15" s="134"/>
      <c r="D15" s="132" t="s">
        <v>5</v>
      </c>
      <c r="E15" s="28"/>
      <c r="F15" s="29"/>
      <c r="G15" s="30"/>
      <c r="H15" s="139"/>
      <c r="I15" s="121">
        <f>Pellekoorne!I14</f>
        <v>0.54166666666666663</v>
      </c>
      <c r="J15" s="128">
        <f>IF(A54=FALSE,I40/C42,(I39-I5-I7-I9-I11-I13)/12)</f>
        <v>0.63229166666666659</v>
      </c>
      <c r="K15" s="129">
        <f t="shared" ref="K15" si="28">J15-I15</f>
        <v>9.0624999999999956E-2</v>
      </c>
      <c r="L15" s="121">
        <f>Gutsche!I14</f>
        <v>0.53125</v>
      </c>
      <c r="M15" s="128">
        <f>IF(A54=FALSE,L40/C42,(L39-L5-L7-L9-L11-L13)/12)</f>
        <v>0.67129629629629628</v>
      </c>
      <c r="N15" s="129">
        <f t="shared" ref="N15" si="29">M15-L15</f>
        <v>0.14004629629629628</v>
      </c>
      <c r="O15" s="121">
        <f>Lapp!I14</f>
        <v>0.71874999999999989</v>
      </c>
      <c r="P15" s="128">
        <f>IF(A54=FALSE,O40/C42,(O39-O5-O7-O9-O11-O13)/12)</f>
        <v>0.61533564814814801</v>
      </c>
      <c r="Q15" s="129">
        <f t="shared" ref="Q15" si="30">P15-O15</f>
        <v>-0.10341435185185188</v>
      </c>
      <c r="R15" s="121">
        <f>Martschenko!I14</f>
        <v>0.40625</v>
      </c>
      <c r="S15" s="128">
        <f>IF(A54=FALSE,R40/C42,(R39-R5-R7-R9-R11-R13)/12)</f>
        <v>0.67337962962962983</v>
      </c>
      <c r="T15" s="125">
        <f t="shared" ref="T15" si="31">S15-R15</f>
        <v>0.26712962962962983</v>
      </c>
      <c r="U15" s="121">
        <f>Soboth!I14</f>
        <v>3.125E-2</v>
      </c>
      <c r="V15" s="128">
        <f>IF(A54=FALSE,U40/C42,(U39-U5-U7-U9-U11-U13)/9)</f>
        <v>0.96797839506172834</v>
      </c>
      <c r="W15" s="125">
        <f t="shared" ref="W15" si="32">V15-U15</f>
        <v>0.93672839506172834</v>
      </c>
      <c r="X15" s="121">
        <f>Stephan!I14</f>
        <v>0.88611111111111107</v>
      </c>
      <c r="Y15" s="128">
        <f>IF(A54=FALSE,X40/C42,(X39-X5-X7-X9-X11-X13)/12)</f>
        <v>0.65827546296296291</v>
      </c>
      <c r="Z15" s="125">
        <f t="shared" ref="Z15" si="33">Y15-X15</f>
        <v>-0.22783564814814816</v>
      </c>
    </row>
    <row r="16" spans="1:34" x14ac:dyDescent="0.25">
      <c r="A16" s="8" t="s">
        <v>7</v>
      </c>
      <c r="B16" s="9">
        <v>42524</v>
      </c>
      <c r="C16" s="133" t="s">
        <v>17</v>
      </c>
      <c r="D16" s="132"/>
      <c r="E16" s="31"/>
      <c r="F16" s="2"/>
      <c r="G16" s="32"/>
      <c r="H16" s="139"/>
      <c r="I16" s="122"/>
      <c r="J16" s="124"/>
      <c r="K16" s="155"/>
      <c r="L16" s="122"/>
      <c r="M16" s="124"/>
      <c r="N16" s="155"/>
      <c r="O16" s="122"/>
      <c r="P16" s="124"/>
      <c r="Q16" s="155"/>
      <c r="R16" s="122"/>
      <c r="S16" s="124"/>
      <c r="T16" s="126"/>
      <c r="U16" s="122"/>
      <c r="V16" s="124"/>
      <c r="W16" s="126"/>
      <c r="X16" s="122"/>
      <c r="Y16" s="124"/>
      <c r="Z16" s="126"/>
      <c r="AA16" s="1"/>
      <c r="AB16" s="1"/>
      <c r="AC16" s="1"/>
      <c r="AD16" s="1"/>
      <c r="AE16" s="1"/>
      <c r="AF16" s="1"/>
      <c r="AG16" s="1"/>
      <c r="AH16" s="1"/>
    </row>
    <row r="17" spans="1:26" ht="15" customHeight="1" x14ac:dyDescent="0.25">
      <c r="A17" s="3" t="s">
        <v>8</v>
      </c>
      <c r="B17" s="12">
        <v>42528</v>
      </c>
      <c r="C17" s="134"/>
      <c r="D17" s="131" t="s">
        <v>6</v>
      </c>
      <c r="E17" s="28"/>
      <c r="F17" s="29"/>
      <c r="G17" s="30"/>
      <c r="H17" s="139"/>
      <c r="I17" s="156">
        <f>Pellekoorne!I16</f>
        <v>0.76388888888888895</v>
      </c>
      <c r="J17" s="146">
        <f>IF(A55=FALSE,I40/C42,(I39-I5-I7-I9-I11-I13-I15)/11)</f>
        <v>0.64053030303030289</v>
      </c>
      <c r="K17" s="153">
        <f t="shared" ref="K17" si="34">J17-I17</f>
        <v>-0.12335858585858606</v>
      </c>
      <c r="L17" s="156">
        <f>Gutsche!I16</f>
        <v>0.96736111111111112</v>
      </c>
      <c r="M17" s="146">
        <f>IF(A55=FALSE,L40/C42,(L39-L5-L7-L9-L11-L13-L15)/11)</f>
        <v>0.68402777777777779</v>
      </c>
      <c r="N17" s="153">
        <f t="shared" ref="N17" si="35">M17-L17</f>
        <v>-0.28333333333333333</v>
      </c>
      <c r="O17" s="156">
        <f>Lapp!I16</f>
        <v>0.60416666666666674</v>
      </c>
      <c r="P17" s="146">
        <f>IF(A55=FALSE,O40/C42,(O39-O5-O7-O9-O11-O13-O15)/11)</f>
        <v>0.60593434343434327</v>
      </c>
      <c r="Q17" s="153">
        <f t="shared" ref="Q17" si="36">P17-O17</f>
        <v>1.7676767676765293E-3</v>
      </c>
      <c r="R17" s="156">
        <f>Martschenko!I16</f>
        <v>0.88888888888888895</v>
      </c>
      <c r="S17" s="146">
        <f>IF(A55=FALSE,R40/C42,(R39-R5-R7-R9-R11-R13-R15)/11)</f>
        <v>0.69766414141414157</v>
      </c>
      <c r="T17" s="174">
        <f t="shared" ref="T17" si="37">S17-R17</f>
        <v>-0.19122474747474738</v>
      </c>
      <c r="U17" s="179" t="s">
        <v>324</v>
      </c>
      <c r="V17" s="180"/>
      <c r="W17" s="181"/>
      <c r="X17" s="156">
        <f>Stephan!I16</f>
        <v>0.77499999999999991</v>
      </c>
      <c r="Y17" s="146">
        <f>IF(A55=FALSE,X40/C42,(X39-X5-X7-X9-X11-X13-X15)/11)</f>
        <v>0.63756313131313125</v>
      </c>
      <c r="Z17" s="174">
        <f t="shared" ref="Z17" si="38">Y17-X17</f>
        <v>-0.13743686868686866</v>
      </c>
    </row>
    <row r="18" spans="1:26" ht="15.75" customHeight="1" thickBot="1" x14ac:dyDescent="0.3">
      <c r="A18" s="10" t="s">
        <v>7</v>
      </c>
      <c r="B18" s="11">
        <v>42531</v>
      </c>
      <c r="C18" s="133" t="s">
        <v>18</v>
      </c>
      <c r="D18" s="131"/>
      <c r="E18" s="150" t="s">
        <v>48</v>
      </c>
      <c r="F18" s="138"/>
      <c r="G18" s="32"/>
      <c r="H18" s="139"/>
      <c r="I18" s="157"/>
      <c r="J18" s="147"/>
      <c r="K18" s="154"/>
      <c r="L18" s="157"/>
      <c r="M18" s="147"/>
      <c r="N18" s="154"/>
      <c r="O18" s="157"/>
      <c r="P18" s="147"/>
      <c r="Q18" s="154"/>
      <c r="R18" s="157"/>
      <c r="S18" s="147"/>
      <c r="T18" s="175"/>
      <c r="U18" s="182"/>
      <c r="V18" s="183"/>
      <c r="W18" s="184"/>
      <c r="X18" s="157"/>
      <c r="Y18" s="147"/>
      <c r="Z18" s="175"/>
    </row>
    <row r="19" spans="1:26" ht="15.75" thickBot="1" x14ac:dyDescent="0.3">
      <c r="A19" s="5" t="s">
        <v>8</v>
      </c>
      <c r="B19" s="5">
        <v>42535</v>
      </c>
      <c r="C19" s="135"/>
      <c r="D19" s="132" t="s">
        <v>28</v>
      </c>
      <c r="E19" s="168" t="s">
        <v>27</v>
      </c>
      <c r="F19" s="169"/>
      <c r="G19" s="30"/>
      <c r="H19" s="139"/>
      <c r="I19" s="121">
        <f>Pellekoorne!I18</f>
        <v>0.9409722222222221</v>
      </c>
      <c r="J19" s="128">
        <f>IF(A56=FALSE,I40/C42,(I39-I5-I7-I9-I11-I13-I15-I17)/10)</f>
        <v>0.62819444444444428</v>
      </c>
      <c r="K19" s="129">
        <f t="shared" ref="K19" si="39">J19-I19</f>
        <v>-0.31277777777777782</v>
      </c>
      <c r="L19" s="121">
        <f>Gutsche!I18</f>
        <v>0.72847222222222219</v>
      </c>
      <c r="M19" s="128">
        <f>IF(A56=FALSE,L40/C42,(L39-L5-L7-L9-L11-L13-L15-L17)/10)</f>
        <v>0.65569444444444447</v>
      </c>
      <c r="N19" s="129">
        <f t="shared" ref="N19" si="40">M19-L19</f>
        <v>-7.2777777777777719E-2</v>
      </c>
      <c r="O19" s="121">
        <f>Lapp!I18</f>
        <v>0.85277777777777786</v>
      </c>
      <c r="P19" s="128">
        <f>IF(A56=FALSE,O40/C42,(O39-O5-O7-O9-O11-O13-O15-O17)/10)</f>
        <v>0.60611111111111093</v>
      </c>
      <c r="Q19" s="129">
        <f t="shared" ref="Q19" si="41">P19-O19</f>
        <v>-0.24666666666666692</v>
      </c>
      <c r="R19" s="121">
        <f>Martschenko!I18</f>
        <v>0.59375</v>
      </c>
      <c r="S19" s="128">
        <f>IF(A56=FALSE,R40/C42,(R39-R5-R7-R9-R11-R13-R15-R17)/10)</f>
        <v>0.67854166666666682</v>
      </c>
      <c r="T19" s="125">
        <f t="shared" ref="T19" si="42">S19-R19</f>
        <v>8.4791666666666821E-2</v>
      </c>
      <c r="U19" s="121"/>
      <c r="V19" s="128"/>
      <c r="W19" s="125"/>
      <c r="X19" s="121">
        <f>Stephan!I18</f>
        <v>0.87986111111111098</v>
      </c>
      <c r="Y19" s="128">
        <f>IF(A56=FALSE,X40/C42,(X39-X5-X7-X9-X11-X13-X15-X17)/10)</f>
        <v>0.62381944444444437</v>
      </c>
      <c r="Z19" s="125">
        <f t="shared" ref="Z19" si="43">Y19-X19</f>
        <v>-0.25604166666666661</v>
      </c>
    </row>
    <row r="20" spans="1:26" x14ac:dyDescent="0.25">
      <c r="A20" s="8" t="s">
        <v>7</v>
      </c>
      <c r="B20" s="9">
        <v>42538</v>
      </c>
      <c r="C20" s="142" t="s">
        <v>19</v>
      </c>
      <c r="D20" s="132"/>
      <c r="H20" s="139"/>
      <c r="I20" s="122"/>
      <c r="J20" s="124"/>
      <c r="K20" s="155"/>
      <c r="L20" s="122"/>
      <c r="M20" s="124"/>
      <c r="N20" s="155"/>
      <c r="O20" s="122"/>
      <c r="P20" s="124"/>
      <c r="Q20" s="155"/>
      <c r="R20" s="122"/>
      <c r="S20" s="124"/>
      <c r="T20" s="126"/>
      <c r="U20" s="122"/>
      <c r="V20" s="124"/>
      <c r="W20" s="126"/>
      <c r="X20" s="122"/>
      <c r="Y20" s="124"/>
      <c r="Z20" s="126"/>
    </row>
    <row r="21" spans="1:26" x14ac:dyDescent="0.25">
      <c r="A21" s="3" t="s">
        <v>8</v>
      </c>
      <c r="B21" s="12">
        <v>42542</v>
      </c>
      <c r="C21" s="134"/>
      <c r="D21" s="131" t="s">
        <v>29</v>
      </c>
      <c r="E21" s="28"/>
      <c r="F21" s="29"/>
      <c r="G21" s="30"/>
      <c r="H21" s="139"/>
      <c r="I21" s="156">
        <f>Pellekoorne!I20</f>
        <v>0.54166666666666663</v>
      </c>
      <c r="J21" s="146">
        <f>IF(A57=FALSE,I40/C42,(I39-I5-I7-I9-I11-I13-I15-I17-I19)/9)</f>
        <v>0.59344135802469111</v>
      </c>
      <c r="K21" s="153">
        <f t="shared" ref="K21" si="44">J21-I21</f>
        <v>5.1774691358024483E-2</v>
      </c>
      <c r="L21" s="156">
        <f>Gutsche!I20</f>
        <v>0.68680555555555545</v>
      </c>
      <c r="M21" s="146">
        <f>IF(A57=FALSE,L40/C42,(L39-L5-L7-L9-L11-L13-L15-L17-L19)/9)</f>
        <v>0.64760802469135803</v>
      </c>
      <c r="N21" s="153">
        <f t="shared" ref="N21" si="45">M21-L21</f>
        <v>-3.9197530864197416E-2</v>
      </c>
      <c r="O21" s="156">
        <f>Lapp!I20</f>
        <v>0.75</v>
      </c>
      <c r="P21" s="146">
        <f>IF(A57=FALSE,O40/C42,(O39-O5-O7-O9-O11-O13-O15-O17-O19)/9)</f>
        <v>0.5787037037037035</v>
      </c>
      <c r="Q21" s="153">
        <f t="shared" ref="Q21" si="46">P21-O21</f>
        <v>-0.1712962962962965</v>
      </c>
      <c r="R21" s="156">
        <f>Martschenko!I20</f>
        <v>0.5625</v>
      </c>
      <c r="S21" s="146">
        <f>IF(A57=FALSE,R40/C42,(R39-R5-R7-R9-R11-R13-R15-R17-R19)/9)</f>
        <v>0.68796296296296311</v>
      </c>
      <c r="T21" s="174">
        <f t="shared" ref="T21" si="47">S21-R21</f>
        <v>0.12546296296296311</v>
      </c>
      <c r="U21" s="156"/>
      <c r="V21" s="146"/>
      <c r="W21" s="174"/>
      <c r="X21" s="156">
        <f>Stephan!I20</f>
        <v>0.61319444444444438</v>
      </c>
      <c r="Y21" s="146">
        <f>IF(A57=FALSE,X40/C42,(X39-X5-X7-X9-X11-X13-X15-X17-X19)/9)</f>
        <v>0.59537037037037033</v>
      </c>
      <c r="Z21" s="174">
        <f t="shared" ref="Z21" si="48">Y21-X21</f>
        <v>-1.7824074074074048E-2</v>
      </c>
    </row>
    <row r="22" spans="1:26" x14ac:dyDescent="0.25">
      <c r="A22" s="8" t="s">
        <v>7</v>
      </c>
      <c r="B22" s="11">
        <v>42545</v>
      </c>
      <c r="C22" s="133" t="s">
        <v>20</v>
      </c>
      <c r="D22" s="131"/>
      <c r="E22" s="31"/>
      <c r="F22" s="2"/>
      <c r="G22" s="32"/>
      <c r="H22" s="139"/>
      <c r="I22" s="157"/>
      <c r="J22" s="147"/>
      <c r="K22" s="154"/>
      <c r="L22" s="157"/>
      <c r="M22" s="147"/>
      <c r="N22" s="154"/>
      <c r="O22" s="157"/>
      <c r="P22" s="147"/>
      <c r="Q22" s="154"/>
      <c r="R22" s="157"/>
      <c r="S22" s="147"/>
      <c r="T22" s="175"/>
      <c r="U22" s="157"/>
      <c r="V22" s="147"/>
      <c r="W22" s="175"/>
      <c r="X22" s="157"/>
      <c r="Y22" s="147"/>
      <c r="Z22" s="175"/>
    </row>
    <row r="23" spans="1:26" x14ac:dyDescent="0.25">
      <c r="A23" s="4" t="s">
        <v>8</v>
      </c>
      <c r="B23" s="12">
        <v>42549</v>
      </c>
      <c r="C23" s="134"/>
      <c r="D23" s="132" t="s">
        <v>30</v>
      </c>
      <c r="E23" s="28"/>
      <c r="F23" s="29"/>
      <c r="G23" s="30"/>
      <c r="H23" s="139"/>
      <c r="I23" s="121">
        <f>Pellekoorne!I22</f>
        <v>2.7777777777777776E-2</v>
      </c>
      <c r="J23" s="128">
        <f>IF(A58=FALSE,I40/C42,(I39-I5-I7-I9-I11-I13-I15-I17-I19-I21)/8)</f>
        <v>0.59991319444444413</v>
      </c>
      <c r="K23" s="129">
        <f t="shared" ref="K23" si="49">J23-I23</f>
        <v>0.57213541666666634</v>
      </c>
      <c r="L23" s="121">
        <f>Gutsche!I22</f>
        <v>2.7777777777777776E-2</v>
      </c>
      <c r="M23" s="128">
        <f>IF(A58=FALSE,L40/C42,(L39-L5-L7-L9-L11-L13-L15-L17-L19-L21)/8)</f>
        <v>0.64270833333333344</v>
      </c>
      <c r="N23" s="129">
        <f t="shared" ref="N23" si="50">M23-L23</f>
        <v>0.61493055555555565</v>
      </c>
      <c r="O23" s="121">
        <f>Lapp!I22</f>
        <v>2.7777777777777776E-2</v>
      </c>
      <c r="P23" s="128">
        <f>IF(A58=FALSE,O40/C42,(O39-O5-O7-O9-O11-O13-O15-O17-O19-O21)/8)</f>
        <v>0.55729166666666641</v>
      </c>
      <c r="Q23" s="129">
        <f t="shared" ref="Q23" si="51">P23-O23</f>
        <v>0.52951388888888862</v>
      </c>
      <c r="R23" s="121">
        <f>Martschenko!I22</f>
        <v>2.7777777777777776E-2</v>
      </c>
      <c r="S23" s="128">
        <f>IF(A58=FALSE,R40/C42,(R39-R5-R7-R9-R11-R13-R15-R17-R19-R21)/8)</f>
        <v>0.70364583333333353</v>
      </c>
      <c r="T23" s="125">
        <f t="shared" ref="T23" si="52">S23-R23</f>
        <v>0.67586805555555574</v>
      </c>
      <c r="U23" s="121"/>
      <c r="V23" s="128"/>
      <c r="W23" s="125"/>
      <c r="X23" s="121">
        <f>Stephan!I22</f>
        <v>2.7777777777777776E-2</v>
      </c>
      <c r="Y23" s="128">
        <f>IF(A58=FALSE,X40/C42,(X39-X5-X7-X9-X11-X13-X15-X17-X19-X21)/8)</f>
        <v>0.59314236111111107</v>
      </c>
      <c r="Z23" s="125">
        <f t="shared" ref="Z23" si="53">Y23-X23</f>
        <v>0.56536458333333328</v>
      </c>
    </row>
    <row r="24" spans="1:26" x14ac:dyDescent="0.25">
      <c r="A24" s="8" t="s">
        <v>7</v>
      </c>
      <c r="B24" s="9">
        <v>42552</v>
      </c>
      <c r="C24" s="149" t="s">
        <v>21</v>
      </c>
      <c r="D24" s="132"/>
      <c r="E24" s="31"/>
      <c r="F24" s="2"/>
      <c r="G24" s="32"/>
      <c r="H24" s="139"/>
      <c r="I24" s="122"/>
      <c r="J24" s="124"/>
      <c r="K24" s="155"/>
      <c r="L24" s="122"/>
      <c r="M24" s="124"/>
      <c r="N24" s="155"/>
      <c r="O24" s="122"/>
      <c r="P24" s="124"/>
      <c r="Q24" s="155"/>
      <c r="R24" s="122"/>
      <c r="S24" s="124"/>
      <c r="T24" s="126"/>
      <c r="U24" s="122"/>
      <c r="V24" s="124"/>
      <c r="W24" s="126"/>
      <c r="X24" s="122"/>
      <c r="Y24" s="124"/>
      <c r="Z24" s="126"/>
    </row>
    <row r="25" spans="1:26" x14ac:dyDescent="0.25">
      <c r="A25" s="3" t="s">
        <v>8</v>
      </c>
      <c r="B25" s="12">
        <v>42556</v>
      </c>
      <c r="C25" s="149"/>
      <c r="D25" s="131" t="s">
        <v>31</v>
      </c>
      <c r="E25" s="36"/>
      <c r="F25" s="37"/>
      <c r="G25" s="38"/>
      <c r="H25" s="139"/>
      <c r="I25" s="156">
        <f>Pellekoorne!I24</f>
        <v>3.4722222222222224E-2</v>
      </c>
      <c r="J25" s="146">
        <f>IF(A59=FALSE,I40/C42,(I39-I5-I7-I9-I11-I13-I15-I17-I19-I21-I23)/7)</f>
        <v>0.59991319444444413</v>
      </c>
      <c r="K25" s="153">
        <f t="shared" ref="K25" si="54">J25-I25</f>
        <v>0.56519097222222192</v>
      </c>
      <c r="L25" s="156">
        <f>Gutsche!I24</f>
        <v>3.4722222222222224E-2</v>
      </c>
      <c r="M25" s="146">
        <f>IF(A59=FALSE,L40/C42,(L39-L5-L7-L9-L11-L13-L15-L17-L19-L21-L23)/7)</f>
        <v>0.64270833333333344</v>
      </c>
      <c r="N25" s="153">
        <f t="shared" ref="N25" si="55">M25-L25</f>
        <v>0.60798611111111123</v>
      </c>
      <c r="O25" s="156">
        <f>Lapp!I24</f>
        <v>3.4722222222222224E-2</v>
      </c>
      <c r="P25" s="146">
        <f>IF(A59=FALSE,O40/C42,(O39-O5-O7-O9-O11-O13-O15-O17-O19-O21-O23)/7)</f>
        <v>0.55729166666666641</v>
      </c>
      <c r="Q25" s="153">
        <f t="shared" ref="Q25" si="56">P25-O25</f>
        <v>0.5225694444444442</v>
      </c>
      <c r="R25" s="156">
        <f>Martschenko!I24</f>
        <v>3.4722222222222224E-2</v>
      </c>
      <c r="S25" s="146">
        <f>IF(A59=FALSE,R40/C42,(R39-R5-R7-R9-R11-R13-R15-R17-R19-R21-R23)/7)</f>
        <v>0.70364583333333353</v>
      </c>
      <c r="T25" s="174">
        <f t="shared" ref="T25" si="57">S25-R25</f>
        <v>0.66892361111111132</v>
      </c>
      <c r="U25" s="156"/>
      <c r="V25" s="146"/>
      <c r="W25" s="174"/>
      <c r="X25" s="156">
        <f>Stephan!I24</f>
        <v>3.4722222222222224E-2</v>
      </c>
      <c r="Y25" s="146">
        <f>IF(A59=FALSE,X40/C42,(X39-X5-X7-X9-X11-X13-X15-X17-X19-X21-X23)/7)</f>
        <v>0.59314236111111107</v>
      </c>
      <c r="Z25" s="174">
        <f t="shared" ref="Z25" si="58">Y25-X25</f>
        <v>0.55842013888888886</v>
      </c>
    </row>
    <row r="26" spans="1:26" x14ac:dyDescent="0.25">
      <c r="A26" s="8" t="s">
        <v>7</v>
      </c>
      <c r="B26" s="11">
        <v>42559</v>
      </c>
      <c r="C26" s="149" t="s">
        <v>22</v>
      </c>
      <c r="D26" s="131"/>
      <c r="E26" s="39"/>
      <c r="F26" s="35"/>
      <c r="G26" s="40"/>
      <c r="H26" s="139"/>
      <c r="I26" s="157"/>
      <c r="J26" s="147"/>
      <c r="K26" s="154"/>
      <c r="L26" s="157"/>
      <c r="M26" s="147"/>
      <c r="N26" s="154"/>
      <c r="O26" s="157"/>
      <c r="P26" s="147"/>
      <c r="Q26" s="154"/>
      <c r="R26" s="157"/>
      <c r="S26" s="147"/>
      <c r="T26" s="175"/>
      <c r="U26" s="157"/>
      <c r="V26" s="147"/>
      <c r="W26" s="175"/>
      <c r="X26" s="157"/>
      <c r="Y26" s="147"/>
      <c r="Z26" s="175"/>
    </row>
    <row r="27" spans="1:26" x14ac:dyDescent="0.25">
      <c r="A27" s="4" t="s">
        <v>8</v>
      </c>
      <c r="B27" s="12">
        <v>42563</v>
      </c>
      <c r="C27" s="149"/>
      <c r="D27" s="132" t="s">
        <v>32</v>
      </c>
      <c r="E27" s="28"/>
      <c r="F27" s="29"/>
      <c r="G27" s="30"/>
      <c r="H27" s="139"/>
      <c r="I27" s="121">
        <f>Pellekoorne!I26</f>
        <v>3.4722222222222224E-2</v>
      </c>
      <c r="J27" s="128">
        <f>IF(A60=FALSE,I40/C42,(I39-I5-I7-I9-I11-I13-I15-I17-I19-I21-I23-I25)/6)</f>
        <v>0.59991319444444413</v>
      </c>
      <c r="K27" s="129">
        <f t="shared" ref="K27" si="59">J27-I27</f>
        <v>0.56519097222222192</v>
      </c>
      <c r="L27" s="121">
        <f>Gutsche!I26</f>
        <v>3.4722222222222224E-2</v>
      </c>
      <c r="M27" s="128">
        <f>IF(A60=FALSE,L40/C42,(L39-L5-L7-L9-L11-L13-L15-L17-L19-L21-L23-L25)/6)</f>
        <v>0.64270833333333344</v>
      </c>
      <c r="N27" s="129">
        <f t="shared" ref="N27" si="60">M27-L27</f>
        <v>0.60798611111111123</v>
      </c>
      <c r="O27" s="121">
        <f>Lapp!I26</f>
        <v>3.4722222222222224E-2</v>
      </c>
      <c r="P27" s="128">
        <f>IF(A60=FALSE,O40/C42,(O39-O5-O7-O9-O11-O13-O15-O17-O19-O21-O23-O25)/6)</f>
        <v>0.55729166666666641</v>
      </c>
      <c r="Q27" s="129">
        <f t="shared" ref="Q27" si="61">P27-O27</f>
        <v>0.5225694444444442</v>
      </c>
      <c r="R27" s="121">
        <f>Martschenko!I26</f>
        <v>3.4722222222222224E-2</v>
      </c>
      <c r="S27" s="128">
        <f>IF(A60=FALSE,R40/C42,(R39-R5-R7-R9-R11-R13-R15-R17-R19-R21-R23-R25)/6)</f>
        <v>0.70364583333333353</v>
      </c>
      <c r="T27" s="125">
        <f t="shared" ref="T27" si="62">S27-R27</f>
        <v>0.66892361111111132</v>
      </c>
      <c r="U27" s="121"/>
      <c r="V27" s="128"/>
      <c r="W27" s="125"/>
      <c r="X27" s="121">
        <f>Stephan!I26</f>
        <v>3.4722222222222224E-2</v>
      </c>
      <c r="Y27" s="128">
        <f>IF(A60=FALSE,X40/C42,(X39-X5-X7-X9-X11-X13-X15-X17-X19-X21-X23-X25)/6)</f>
        <v>0.59314236111111107</v>
      </c>
      <c r="Z27" s="125">
        <f t="shared" ref="Z27" si="63">Y27-X27</f>
        <v>0.55842013888888886</v>
      </c>
    </row>
    <row r="28" spans="1:26" x14ac:dyDescent="0.25">
      <c r="A28" s="8" t="s">
        <v>7</v>
      </c>
      <c r="B28" s="9">
        <v>42566</v>
      </c>
      <c r="C28" s="149" t="s">
        <v>23</v>
      </c>
      <c r="D28" s="132"/>
      <c r="E28" s="31"/>
      <c r="F28" s="2"/>
      <c r="G28" s="32"/>
      <c r="H28" s="139"/>
      <c r="I28" s="122"/>
      <c r="J28" s="124"/>
      <c r="K28" s="155"/>
      <c r="L28" s="122"/>
      <c r="M28" s="124"/>
      <c r="N28" s="155"/>
      <c r="O28" s="122"/>
      <c r="P28" s="124"/>
      <c r="Q28" s="155"/>
      <c r="R28" s="122"/>
      <c r="S28" s="124"/>
      <c r="T28" s="126"/>
      <c r="U28" s="122"/>
      <c r="V28" s="124"/>
      <c r="W28" s="126"/>
      <c r="X28" s="122"/>
      <c r="Y28" s="124"/>
      <c r="Z28" s="126"/>
    </row>
    <row r="29" spans="1:26" x14ac:dyDescent="0.25">
      <c r="A29" s="3" t="s">
        <v>8</v>
      </c>
      <c r="B29" s="12">
        <v>42570</v>
      </c>
      <c r="C29" s="149"/>
      <c r="D29" s="131" t="s">
        <v>33</v>
      </c>
      <c r="E29" s="28"/>
      <c r="F29" s="29"/>
      <c r="G29" s="30"/>
      <c r="H29" s="139"/>
      <c r="I29" s="156">
        <f>Pellekoorne!I28</f>
        <v>3.4722222222222224E-2</v>
      </c>
      <c r="J29" s="146">
        <f>IF(A61=FALSE,I40/C42,(I39-I5-I7-I9-I11-I13-I15-I17-I19-I21-I23-I25-I27)/5)</f>
        <v>0.59991319444444413</v>
      </c>
      <c r="K29" s="153">
        <f t="shared" ref="K29" si="64">J29-I29</f>
        <v>0.56519097222222192</v>
      </c>
      <c r="L29" s="156">
        <f>Gutsche!I28</f>
        <v>3.4722222222222224E-2</v>
      </c>
      <c r="M29" s="146">
        <f>IF(A61=FALSE,L40/C42,(L39-L5-L7-L9-L11-L13-L15-L17-L19-L21-L23-L25-L27)/5)</f>
        <v>0.64270833333333344</v>
      </c>
      <c r="N29" s="153">
        <f t="shared" ref="N29" si="65">M29-L29</f>
        <v>0.60798611111111123</v>
      </c>
      <c r="O29" s="156">
        <f>Lapp!I28</f>
        <v>3.4722222222222224E-2</v>
      </c>
      <c r="P29" s="146">
        <f>IF(A61=FALSE,O40/C42,(O39-O5-O7-O9-O11-O13-O15-O17-O19-O21-O23-O25-O27)/5)</f>
        <v>0.55729166666666641</v>
      </c>
      <c r="Q29" s="153">
        <f t="shared" ref="Q29" si="66">P29-O29</f>
        <v>0.5225694444444442</v>
      </c>
      <c r="R29" s="156">
        <f>Martschenko!I28</f>
        <v>3.4722222222222224E-2</v>
      </c>
      <c r="S29" s="146">
        <f>IF(A61=FALSE,R40/C42,(R39-R5-R7-R9-R11-R13-R15-R17-R19-R21-R23-R25-R27)/5)</f>
        <v>0.70364583333333353</v>
      </c>
      <c r="T29" s="174">
        <f t="shared" ref="T29" si="67">S29-R29</f>
        <v>0.66892361111111132</v>
      </c>
      <c r="U29" s="156"/>
      <c r="V29" s="146"/>
      <c r="W29" s="174"/>
      <c r="X29" s="156">
        <f>Stephan!I28</f>
        <v>3.4722222222222224E-2</v>
      </c>
      <c r="Y29" s="146">
        <f>IF(A61=FALSE,X40/C42,(X39-X5-X7-X9-X11-X13-X15-X17-X19-X21-X23-X25-X27)/5)</f>
        <v>0.59314236111111107</v>
      </c>
      <c r="Z29" s="174">
        <f t="shared" ref="Z29" si="68">Y29-X29</f>
        <v>0.55842013888888886</v>
      </c>
    </row>
    <row r="30" spans="1:26" x14ac:dyDescent="0.25">
      <c r="A30" s="8" t="s">
        <v>7</v>
      </c>
      <c r="B30" s="11">
        <v>42573</v>
      </c>
      <c r="C30" s="149" t="s">
        <v>24</v>
      </c>
      <c r="D30" s="131"/>
      <c r="E30" s="31"/>
      <c r="F30" s="2"/>
      <c r="G30" s="32"/>
      <c r="H30" s="139"/>
      <c r="I30" s="157"/>
      <c r="J30" s="147"/>
      <c r="K30" s="154"/>
      <c r="L30" s="157"/>
      <c r="M30" s="147"/>
      <c r="N30" s="154"/>
      <c r="O30" s="157"/>
      <c r="P30" s="147"/>
      <c r="Q30" s="154"/>
      <c r="R30" s="157"/>
      <c r="S30" s="147"/>
      <c r="T30" s="175"/>
      <c r="U30" s="157"/>
      <c r="V30" s="147"/>
      <c r="W30" s="175"/>
      <c r="X30" s="157"/>
      <c r="Y30" s="147"/>
      <c r="Z30" s="175"/>
    </row>
    <row r="31" spans="1:26" x14ac:dyDescent="0.25">
      <c r="A31" s="4" t="s">
        <v>8</v>
      </c>
      <c r="B31" s="12">
        <v>42577</v>
      </c>
      <c r="C31" s="133"/>
      <c r="D31" s="132" t="s">
        <v>34</v>
      </c>
      <c r="E31" s="28"/>
      <c r="F31" s="29"/>
      <c r="G31" s="30"/>
      <c r="H31" s="139"/>
      <c r="I31" s="121">
        <f>Pellekoorne!I30</f>
        <v>3.4722222222222224E-2</v>
      </c>
      <c r="J31" s="128">
        <f>IF(A62=FALSE,I40/C42,(I39-I5-I7-I9-I11-I13-I15-I17-I19-I21-I23-I25-I27-I29)/4)</f>
        <v>0.59991319444444413</v>
      </c>
      <c r="K31" s="129">
        <f t="shared" ref="K31:K37" si="69">J31-I31</f>
        <v>0.56519097222222192</v>
      </c>
      <c r="L31" s="121">
        <f>Gutsche!I30</f>
        <v>3.4722222222222224E-2</v>
      </c>
      <c r="M31" s="128">
        <f>IF(A62=FALSE,$L$40/$C$42,($L$39-$L$5-$L$7-$L$9-$L$11-$L$13-$L$15-$L$17-$L$19-$L$21-$L$23-$L$25-$L$27-$L$29)/4)</f>
        <v>0.64270833333333344</v>
      </c>
      <c r="N31" s="125">
        <f t="shared" ref="N31:N37" si="70">M31-L31</f>
        <v>0.60798611111111123</v>
      </c>
      <c r="O31" s="121">
        <f>Lapp!I30</f>
        <v>3.4722222222222224E-2</v>
      </c>
      <c r="P31" s="128">
        <f>IF(A62=FALSE,O40/C42,(O39-O5-O7-O9-O11-O13-O15-O17-O19-O21-O23-O25-O27-O29)/4)</f>
        <v>0.55729166666666641</v>
      </c>
      <c r="Q31" s="125">
        <f t="shared" ref="Q31:Q37" si="71">P31-O31</f>
        <v>0.5225694444444442</v>
      </c>
      <c r="R31" s="121">
        <f>Martschenko!I30</f>
        <v>3.4722222222222224E-2</v>
      </c>
      <c r="S31" s="128">
        <f>IF(A62=FALSE,R40/C42,(R39-R5-R7-R9-R11-R13-R15-R17-R19-R21-R23-R25-R27-R29)/4)</f>
        <v>0.70364583333333353</v>
      </c>
      <c r="T31" s="125">
        <f t="shared" ref="T31:T37" si="72">S31-R31</f>
        <v>0.66892361111111132</v>
      </c>
      <c r="U31" s="121"/>
      <c r="V31" s="128"/>
      <c r="W31" s="125"/>
      <c r="X31" s="121">
        <f>Stephan!I30</f>
        <v>3.4722222222222224E-2</v>
      </c>
      <c r="Y31" s="128">
        <f>IF(A62=FALSE,X40/C42,(X39-X5-X7-X9-X11-X13-X15-X17-X19-X21-X23-X25-X27-X29)/4)</f>
        <v>0.59314236111111107</v>
      </c>
      <c r="Z31" s="125">
        <f t="shared" ref="Z31:Z37" si="73">Y31-X31</f>
        <v>0.55842013888888886</v>
      </c>
    </row>
    <row r="32" spans="1:26" x14ac:dyDescent="0.25">
      <c r="A32" s="10" t="s">
        <v>7</v>
      </c>
      <c r="B32" s="9">
        <v>42580</v>
      </c>
      <c r="C32" s="133" t="s">
        <v>25</v>
      </c>
      <c r="D32" s="132"/>
      <c r="E32" s="105"/>
      <c r="F32" s="106"/>
      <c r="G32" s="41"/>
      <c r="H32" s="140"/>
      <c r="I32" s="122"/>
      <c r="J32" s="123"/>
      <c r="K32" s="130"/>
      <c r="L32" s="122"/>
      <c r="M32" s="124"/>
      <c r="N32" s="126"/>
      <c r="O32" s="122"/>
      <c r="P32" s="124"/>
      <c r="Q32" s="126"/>
      <c r="R32" s="122"/>
      <c r="S32" s="124"/>
      <c r="T32" s="126"/>
      <c r="U32" s="122"/>
      <c r="V32" s="124"/>
      <c r="W32" s="126"/>
      <c r="X32" s="122"/>
      <c r="Y32" s="124"/>
      <c r="Z32" s="126"/>
    </row>
    <row r="33" spans="1:26" x14ac:dyDescent="0.25">
      <c r="A33" s="99" t="s">
        <v>8</v>
      </c>
      <c r="B33" s="12">
        <v>42584</v>
      </c>
      <c r="C33" s="134"/>
      <c r="D33" s="131" t="s">
        <v>392</v>
      </c>
      <c r="G33" s="30"/>
      <c r="H33" s="139"/>
      <c r="I33" s="107">
        <f>Pellekoorne!I32</f>
        <v>3.4722222222222224E-2</v>
      </c>
      <c r="J33" s="117">
        <f>IF(A63=FALSE,$I$40/$C$42,($I$39-$I$5-$I$7-$I$9-$I$11-$I$13-$I$15-$I$17-$I$19-$I$21-$I$23-$I$25-$I$27-$I$29-$I$31)/3)</f>
        <v>0.59991319444444413</v>
      </c>
      <c r="K33" s="118">
        <f t="shared" si="69"/>
        <v>0.56519097222222192</v>
      </c>
      <c r="L33" s="107">
        <f>Gutsche!I32</f>
        <v>3.4722222222222224E-2</v>
      </c>
      <c r="M33" s="117">
        <f>IF(A63=FALSE,$L$40/$C$42,($L$39-$L$5-$L$7-$L$9-$L$11-$L$13-$L$15-$L$17-$L$19-$L$21-$L$23-$L$25-$L$27-$L$299-$L$31)/3)</f>
        <v>0.64270833333333344</v>
      </c>
      <c r="N33" s="111">
        <f t="shared" si="70"/>
        <v>0.60798611111111123</v>
      </c>
      <c r="O33" s="107">
        <f>Lapp!I32</f>
        <v>3.4722222222222224E-2</v>
      </c>
      <c r="P33" s="109">
        <f>IF(A63=FALSE,O40/C42,(O39-O5-O7-O9-O11-O13-O15-O17-O19-O21-O23-O25-O27-O29-O31)/3)</f>
        <v>0.55729166666666641</v>
      </c>
      <c r="Q33" s="111">
        <f t="shared" si="71"/>
        <v>0.5225694444444442</v>
      </c>
      <c r="R33" s="107">
        <f>Martschenko!I32</f>
        <v>3.4722222222222224E-2</v>
      </c>
      <c r="S33" s="117">
        <f>IF(A63=FALSE,R40/C42,(R39-R5-R7-R9-R11-R13-R15-R17-R19-R21-R23-R25-R27-R29-R31)/3)</f>
        <v>0.70364583333333353</v>
      </c>
      <c r="T33" s="111">
        <f t="shared" si="72"/>
        <v>0.66892361111111132</v>
      </c>
      <c r="U33" s="107"/>
      <c r="V33" s="117"/>
      <c r="W33" s="111"/>
      <c r="X33" s="107">
        <f>Stephan!I32</f>
        <v>3.4722222222222224E-2</v>
      </c>
      <c r="Y33" s="109">
        <f>IF(A63=FALSE,X40/C42,(X39-X5-X7-X9-X11-X13-X15-X17-X19-X21-X23-X25-X27-X29-X31)/3)</f>
        <v>0.59314236111111107</v>
      </c>
      <c r="Z33" s="111">
        <f t="shared" si="73"/>
        <v>0.55842013888888886</v>
      </c>
    </row>
    <row r="34" spans="1:26" ht="15.75" thickBot="1" x14ac:dyDescent="0.3">
      <c r="A34" s="8" t="s">
        <v>7</v>
      </c>
      <c r="B34" s="9">
        <v>42587</v>
      </c>
      <c r="C34" s="133" t="s">
        <v>389</v>
      </c>
      <c r="D34" s="131"/>
      <c r="G34" s="41"/>
      <c r="H34" s="140"/>
      <c r="I34" s="108"/>
      <c r="J34" s="109"/>
      <c r="K34" s="119"/>
      <c r="L34" s="108"/>
      <c r="M34" s="120"/>
      <c r="N34" s="112"/>
      <c r="O34" s="108"/>
      <c r="P34" s="120"/>
      <c r="Q34" s="112"/>
      <c r="R34" s="108"/>
      <c r="S34" s="120"/>
      <c r="T34" s="112"/>
      <c r="U34" s="108"/>
      <c r="V34" s="120"/>
      <c r="W34" s="112"/>
      <c r="X34" s="108"/>
      <c r="Y34" s="120"/>
      <c r="Z34" s="112"/>
    </row>
    <row r="35" spans="1:26" x14ac:dyDescent="0.25">
      <c r="A35" s="4" t="s">
        <v>8</v>
      </c>
      <c r="B35" s="4">
        <v>42591</v>
      </c>
      <c r="C35" s="134"/>
      <c r="D35" s="132" t="s">
        <v>393</v>
      </c>
      <c r="E35" s="101"/>
      <c r="F35" s="101"/>
      <c r="H35" s="139"/>
      <c r="I35" s="121">
        <f>Pellekoorne!I34</f>
        <v>3.4722222222222224E-2</v>
      </c>
      <c r="J35" s="128">
        <f>IF(A64=FALSE,$I$40/$C$42,($I$39-$I$5-$I$7-$I$9-$I$11-$I$13-$I$15-$I$17-$I$19-$I$21-$I$23-$I$25-$I$27-$I$29-$I$31-$I$33)/2)</f>
        <v>0.59991319444444413</v>
      </c>
      <c r="K35" s="129">
        <f t="shared" si="69"/>
        <v>0.56519097222222192</v>
      </c>
      <c r="L35" s="121">
        <f>Gutsche!I34</f>
        <v>3.4722222222222224E-2</v>
      </c>
      <c r="M35" s="128">
        <f>IF(A64=FALSE,$L$40/$C$42,($L$39-$L$5-$L$7-$L$9-$L$11-$L$13-$L$15-$L$17-$L$19-$L$21-$L$23-$L$25-$L$27-$L$29-$L$31-$L$33)/2)</f>
        <v>0.64270833333333344</v>
      </c>
      <c r="N35" s="125">
        <f t="shared" si="70"/>
        <v>0.60798611111111123</v>
      </c>
      <c r="O35" s="121">
        <f>Lapp!I34</f>
        <v>3.4722222222222224E-2</v>
      </c>
      <c r="P35" s="123">
        <f>IF(A64=FALSE,O40/C42,(O39-O5-O7-O9-O11-O13-O15-O17-O19-O21-O23-O25-O27-O29-O31-O33)/2)</f>
        <v>0.55729166666666641</v>
      </c>
      <c r="Q35" s="125">
        <f t="shared" si="71"/>
        <v>0.5225694444444442</v>
      </c>
      <c r="R35" s="121">
        <f>Martschenko!I34</f>
        <v>3.4722222222222224E-2</v>
      </c>
      <c r="S35" s="123">
        <f>IF(A64=FALSE,R40/C42,(R39-R5-R7-R9-R11-R13-R15-R17-R19-R21-R23-R25-R27-R29-R31-R33)/2)</f>
        <v>0.70364583333333353</v>
      </c>
      <c r="T35" s="125">
        <f t="shared" si="72"/>
        <v>0.66892361111111132</v>
      </c>
      <c r="U35" s="127"/>
      <c r="V35" s="123"/>
      <c r="W35" s="125"/>
      <c r="X35" s="121">
        <f>Stephan!I34</f>
        <v>3.4722222222222224E-2</v>
      </c>
      <c r="Y35" s="128">
        <f>IF(A64=FALSE,X40/C42,(X39-X5-X7-X9-X11-X13-X15-X17-X19-X21-X23-X25-X27-X29-X31-X33)/2)</f>
        <v>0.59314236111111107</v>
      </c>
      <c r="Z35" s="125">
        <f t="shared" si="73"/>
        <v>0.55842013888888886</v>
      </c>
    </row>
    <row r="36" spans="1:26" x14ac:dyDescent="0.25">
      <c r="A36" s="10" t="s">
        <v>7</v>
      </c>
      <c r="B36" s="11">
        <v>42594</v>
      </c>
      <c r="C36" s="133" t="s">
        <v>390</v>
      </c>
      <c r="D36" s="132"/>
      <c r="E36" s="137" t="s">
        <v>26</v>
      </c>
      <c r="F36" s="137"/>
      <c r="G36" s="41"/>
      <c r="H36" s="140"/>
      <c r="I36" s="122"/>
      <c r="J36" s="123"/>
      <c r="K36" s="130"/>
      <c r="L36" s="122"/>
      <c r="M36" s="124"/>
      <c r="N36" s="126"/>
      <c r="O36" s="122"/>
      <c r="P36" s="124"/>
      <c r="Q36" s="126"/>
      <c r="R36" s="122"/>
      <c r="S36" s="124"/>
      <c r="T36" s="126"/>
      <c r="U36" s="122"/>
      <c r="V36" s="124"/>
      <c r="W36" s="126"/>
      <c r="X36" s="122"/>
      <c r="Y36" s="124"/>
      <c r="Z36" s="126"/>
    </row>
    <row r="37" spans="1:26" ht="15.75" thickBot="1" x14ac:dyDescent="0.3">
      <c r="A37" s="7" t="s">
        <v>8</v>
      </c>
      <c r="B37" s="5">
        <v>42598</v>
      </c>
      <c r="C37" s="135"/>
      <c r="D37" s="131" t="s">
        <v>394</v>
      </c>
      <c r="E37" s="102"/>
      <c r="F37" s="103"/>
      <c r="H37" s="139"/>
      <c r="I37" s="107">
        <f>Pellekoorne!I36</f>
        <v>3.4722222222222224E-2</v>
      </c>
      <c r="J37" s="117">
        <f>IF(A65=FALSE,$I$40/$C$42,($I$39-$I$5-$I$7-$I$9-$I$11-$I$13-$I$15-$I$17-$I$19-$I$21-$I$23-$I$25-$I$27-$I$29-$I$31-$I$33-$I$35)/1)</f>
        <v>0.59991319444444413</v>
      </c>
      <c r="K37" s="118">
        <f t="shared" si="69"/>
        <v>0.56519097222222192</v>
      </c>
      <c r="L37" s="107">
        <f>Gutsche!I36</f>
        <v>3.4722222222222224E-2</v>
      </c>
      <c r="M37" s="117">
        <f>IF(A65=FALSE,$L$40/$C$42,($L$39-$L$5-$L$7-$L$9-$L$11-$L$13-$L$15-$L$17-$L$19-$L$21-$L$23-$L$25-$L$27-$L$29-$L$31-$L$33-$L$35)/1)</f>
        <v>0.64270833333333344</v>
      </c>
      <c r="N37" s="111">
        <f t="shared" si="70"/>
        <v>0.60798611111111123</v>
      </c>
      <c r="O37" s="107">
        <f>Lapp!I36</f>
        <v>3.4722222222222224E-2</v>
      </c>
      <c r="P37" s="109">
        <f>IF(A65=FALSE,O40/C42,(O39-O5-O7-O9-O11-O13-O15-O17-O19-O21-O23-O25-O27-O29-O31-O33-O35)/1)</f>
        <v>0.55729166666666641</v>
      </c>
      <c r="Q37" s="111">
        <f t="shared" si="71"/>
        <v>0.5225694444444442</v>
      </c>
      <c r="R37" s="107">
        <f>Martschenko!I36</f>
        <v>3.4722222222222224E-2</v>
      </c>
      <c r="S37" s="109">
        <f>IF(A65=FALSE,R40/C42,(R39-R5-R7-R9-R11-R13-R15-R17-R19-R21-R23-R25-R27-R29-R31-R33-R35)/1)</f>
        <v>0.70364583333333353</v>
      </c>
      <c r="T37" s="111">
        <f t="shared" si="72"/>
        <v>0.66892361111111132</v>
      </c>
      <c r="U37" s="113"/>
      <c r="V37" s="109"/>
      <c r="W37" s="115"/>
      <c r="X37" s="107">
        <f>Stephan!I36</f>
        <v>3.4722222222222224E-2</v>
      </c>
      <c r="Y37" s="109">
        <f>IF(A65=FALSE,X40/C42,(X39-X5-X7-X9-X11-X13-X15-X17-X19-X21-X23-X25-X27-X29-X31-X33-X35)/1)</f>
        <v>0.59314236111111107</v>
      </c>
      <c r="Z37" s="111">
        <f t="shared" si="73"/>
        <v>0.55842013888888886</v>
      </c>
    </row>
    <row r="38" spans="1:26" ht="15.75" thickBot="1" x14ac:dyDescent="0.3">
      <c r="A38" s="8" t="s">
        <v>7</v>
      </c>
      <c r="B38" s="9">
        <v>42601</v>
      </c>
      <c r="C38" s="136" t="s">
        <v>391</v>
      </c>
      <c r="D38" s="131"/>
      <c r="E38" s="105"/>
      <c r="F38" s="106"/>
      <c r="G38" s="41"/>
      <c r="H38" s="141"/>
      <c r="I38" s="108"/>
      <c r="J38" s="109"/>
      <c r="K38" s="119"/>
      <c r="L38" s="108"/>
      <c r="M38" s="120"/>
      <c r="N38" s="112"/>
      <c r="O38" s="108"/>
      <c r="P38" s="110"/>
      <c r="Q38" s="112"/>
      <c r="R38" s="108"/>
      <c r="S38" s="110"/>
      <c r="T38" s="112"/>
      <c r="U38" s="114"/>
      <c r="V38" s="110"/>
      <c r="W38" s="116"/>
      <c r="X38" s="108"/>
      <c r="Y38" s="110"/>
      <c r="Z38" s="112"/>
    </row>
    <row r="39" spans="1:26" ht="16.5" thickBot="1" x14ac:dyDescent="0.3">
      <c r="A39" s="7" t="s">
        <v>388</v>
      </c>
      <c r="B39" s="13">
        <v>42604</v>
      </c>
      <c r="C39" s="135"/>
      <c r="D39" s="100"/>
      <c r="E39" s="138" t="s">
        <v>395</v>
      </c>
      <c r="F39" s="138"/>
      <c r="H39" s="22" t="s">
        <v>43</v>
      </c>
      <c r="I39" s="160">
        <v>11.25</v>
      </c>
      <c r="J39" s="161"/>
      <c r="K39" s="161"/>
      <c r="L39" s="160">
        <v>11.25</v>
      </c>
      <c r="M39" s="161"/>
      <c r="N39" s="161"/>
      <c r="O39" s="160">
        <v>11.25</v>
      </c>
      <c r="P39" s="161"/>
      <c r="Q39" s="161"/>
      <c r="R39" s="160">
        <v>11.25</v>
      </c>
      <c r="S39" s="161"/>
      <c r="T39" s="177"/>
      <c r="U39" s="160">
        <v>11.25</v>
      </c>
      <c r="V39" s="161"/>
      <c r="W39" s="177"/>
      <c r="X39" s="160">
        <v>11.25</v>
      </c>
      <c r="Y39" s="161"/>
      <c r="Z39" s="177"/>
    </row>
    <row r="40" spans="1:26" ht="19.5" thickBot="1" x14ac:dyDescent="0.35">
      <c r="H40" s="21" t="s">
        <v>44</v>
      </c>
      <c r="I40" s="166">
        <f>IF(COUNTIF(A49:A65,TRUE)=0,I39,IF(COUNTIF(A49:A65,TRUE)=1,I39-I5,IF(COUNTIF(A49:A65,TRUE)=2,I39-I5-I7,IF(COUNTIF(A49:A65,TRUE) = 3,I39-I5-I7-I9,IF(COUNTIF(A49:A65,TRUE)=4,I39-I5-I7-I9-I11,IF(COUNTIF(A49:A65,TRUE) = 5,I39-I5-I7-I9-I11-I13,IF(COUNTIF(A49:A65,TRUE) = 6,I39-I5-I7-I9-I11-I13-I15,IF(COUNTIF(A49:A65,TRUE) = 7,I39-I5-I7-I9-I11-I13-I15-I17,IF(COUNTIF(A49:A65,TRUE) = 8,I39-I5-I7-I9-I11-I13-I15-I17-I19,IF(COUNTIF(A49:A65,TRUE) = 9,I39-I5-I7-I9-I11-I13-I15-I17-I19-I21,IF(COUNTIF(A49:A65,TRUE) = 10,I39-I5-I7-I9-I11-I13-I15-I17-I19-I21-I23,IF(COUNTIF(A49:A65,TRUE) = 11,I39-I5-I7-I9-I11-I13-I15-I17-I19-I21-I23-I25,IF(COUNTIF(A49:A65,TRUE) = 12,I39-I5-I7-I9-I11-I13-I15-I17-I19-I21-I23-I25-I27,IF(COUNTIF(A49:A65,TRUE) = 13,I39-I5-I7-I9-I11-I13-I15-I17-I19-I21-I23-I25-I27-I29,IF(COUNTIF(A49:A65,TRUE) = 14,I39-I5-I7-I9-I11-I13-I15-I17-I19-I21-I23-I25-I27-I29-I31,IF(COUNTIF(A49:A65,TRUE) = 15,I39-I5-I7-I9-I11-I13-I15-I17-I19-I21-I23-I25-I27-I29-I31-I33,IF(COUNTIF(A49:A65,TRUE) = 16,I39-I5-I7-I9-I11-I13-I15-I17-I19-I21-I23-I25-I27-I29-I31-I33-I35,IF(COUNTIF(A49:A65,TRUE) = 17,I39-I5-I7-I9-I11-I13-I15-I17-I19-I21-I23-I25-I27-I29-I31-I33-I35-I37,"falsche Eingabe"))))))))))))))))))</f>
        <v>4.799305555555553</v>
      </c>
      <c r="J40" s="167"/>
      <c r="K40" s="167"/>
      <c r="L40" s="166">
        <f>IF(COUNTIF(A49:A65,TRUE)=0,L39,IF(COUNTIF(A49:A65,TRUE)=1,L39-L5,IF(COUNTIF(A49:A65,TRUE)=2,L39-L5-L7,IF(COUNTIF(A49:A65,TRUE) = 3,L39-L5-L7-L9,IF(COUNTIF(A49:A65,TRUE)=4,L39-L5-L7-L9-L11,IF(COUNTIF(A49:A65,TRUE) = 5,L39-L5-L7-L9-L11-L13,IF(COUNTIF(A49:A65,TRUE) = 6,L39-L5-L7-L9-L11-L13-L15,IF(COUNTIF(A49:A65,TRUE) = 7,L39-L5-L7-L9-L11-L13-L15-L17,IF(COUNTIF(A49:A65,TRUE) = 8,L39-L5-L7-L9-L11-L13-L15-L17-L19,IF(COUNTIF(A49:A65,TRUE) = 9,L39-L5-L7-L9-L11-L13-L15-L17-L19-L21,IF(COUNTIF(A49:A65,TRUE) = 10,L39-L5-L7-L9-L11-L13-L15-L17-L19-L21-L23,IF(COUNTIF(A49:A65,TRUE) = 11,L39-L5-L7-L9-L11-L13-L15-L17-L19-L21-L23-L25,IF(COUNTIF(A49:A65,TRUE) = 12,L39-L5-L7-L9-L11-L13-L15-L17-L19-L21-L23-L25-L27,IF(COUNTIF(A49:A65,TRUE) = 13,L39-L5-L7-L9-L11-L13-L15-L17-L19-L21-L23-L25-L27-L29,IF(COUNTIF(A49:A65,TRUE) = 14,L39-L5-L7-L9-L11-L13-L15-L17-L19-L21-L23-L25-L27-L29-L31,IF(COUNTIF(A49:A65,TRUE) = 15,L39-L5-L7-L9-L11-L13-L15-L17-L19-L21-L23-L25-L27-L29-L31-L33,IF(COUNTIF(A49:A65,TRUE) = 16,L39-L5-L7-L9-L11-L13-L15-L17-L19-L21-L23-L25-L27-L29-L31-L33-L35,IF(COUNTIF(A49:A65,TRUE) = 17,L39-L5-L7-L9-L11-L13-L15-L17-L19-L21-L23-L25-L27-L29-L31-L33-L35-L37,"falsche Eingabe"))))))))))))))))))</f>
        <v>5.1416666666666675</v>
      </c>
      <c r="M40" s="167"/>
      <c r="N40" s="167"/>
      <c r="O40" s="166">
        <f>IF(COUNTIF(A49:A65,TRUE)=0,O39,IF(COUNTIF(A49:A65,TRUE)=1,O39-O5,IF(COUNTIF(A49:A65,TRUE)=2,O39-O5-O7,IF(COUNTIF(A49:A65,TRUE) = 3,O39-O5-O7-O9,IF(COUNTIF(A49:A65,TRUE)=4,O39-O5-O7-O9-O11,IF(COUNTIF(A49:A65,TRUE) = 5,O39-O5-O7-O9-O11-O13,IF(COUNTIF(A49:A65,TRUE) = 6,O39-O5-O7-O9-O11-O13-O15,IF(COUNTIF(A49:A65,TRUE) = 7,O39-O5-O7-O9-O11-O13-O15-O17,IF(COUNTIF(A49:A65,TRUE) = 8,O39-O5-O7-O9-O11-O13-O15-O17-O19,IF(COUNTIF(A49:A65,TRUE) = 9,O39-O5-O7-O9-O11-O13-O15-O17-O19-O21,IF(COUNTIF(A49:A65,TRUE) = 10,O39-O5-O7-O9-O11-O13-O15-O17-O19-O21-O23,IF(COUNTIF(A49:A65,TRUE) = 11,O39-O5-O7-O9-O11-O13-O15-O17-O19-O21-O23-O25,IF(COUNTIF(A49:A65,TRUE) = 12,O39-O5-O7-O9-O11-O13-O15-O17-O19-O21-O23-O25-O27,IF(COUNTIF(A49:A65,TRUE) = 13,O39-O5-O7-O9-O11-O13-O15-O17-O19-O21-O23-O25-O27-O29,IF(COUNTIF(A49:A65,TRUE) = 14,O39-O5-O7-O9-O11-O13-O15-O17-O19-O21-O23-O25-O27-O29-O31,IF(COUNTIF(A49:A65,TRUE) = 15,O39-O5-O7-O9-O11-O13-O15-O17-O19-O21-O23-O25-O27-O29-O31-O33,IF(COUNTIF(A49:A65,TRUE) = 16,O39-O5-O7-O9-O11-O13-O15-O17-O19-O21-O23-O25-O27-O29-O31-O33-O35,IF(COUNTIF(A49:A65,TRUE) = 17,O39-O5-O7-O9-O11-O13-O15-O17-O19-O21-O23-O25-O27-O29-O31-O33-O35-O37,"falsche Eingabe"))))))))))))))))))</f>
        <v>4.4583333333333313</v>
      </c>
      <c r="P40" s="167"/>
      <c r="Q40" s="167"/>
      <c r="R40" s="166">
        <f>IF(COUNTIF(A49:A65,TRUE)=0,R39,IF(COUNTIF(A49:A65,TRUE)=1,R39-R5,IF(COUNTIF(A49:A65,TRUE)=2,R39-R5-R7,IF(COUNTIF(A49:A65,TRUE) = 3,R39-R5-R7-R9,IF(COUNTIF(A49:A65,TRUE)=4,R39-R5-R7-R9-R11,IF(COUNTIF(A49:A65,TRUE) = 5,R39-R5-R7-R9-R11-R13,IF(COUNTIF(A49:A65,TRUE) = 6,R39-R5-R7-R9-R11-R13-R15,IF(COUNTIF(A49:A65,TRUE) = 7,R39-R5-R7-R9-R11-R13-R15-R17,IF(COUNTIF(A49:A65,TRUE) = 8,R39-R5-R7-R9-R11-R13-R15-R17-R19,IF(COUNTIF(A49:A65,TRUE) = 9,R39-R5-R7-R9-R11-R13-R15-R17-R19-R21,IF(COUNTIF(A49:A65,TRUE) = 10,R39-R5-R7-R9-R11-R13-R15-R17-R19-R21-R23,IF(COUNTIF(A49:A65,TRUE) = 11,R39-R5-R7-R9-R11-R13-R15-R17-R19-R21-R23-R25,IF(COUNTIF(A49:A65,TRUE) = 12,R39-R5-R7-R9-R11-R13-R15-R17-R19-R21-R23-R25-R27,IF(COUNTIF(A49:A65,TRUE) = 13,R39-R5-R7-R9-R11-R13-R15-R17-R19-R21-R23-R25-R27-R29,IF(COUNTIF(A49:A65,TRUE) = 14,R39-R5-R7-R9-R11-R13-R15-R17-R19-R21-R23-R25-R27-R29-R31,IF(COUNTIF(A49:A65,TRUE) = 15,R39-R5-R7-R9-R11-R13-R15-R17-R19-R21-R23-R25-R27-R29-R31-R33,IF(COUNTIF(A49:A65,TRUE) = 16,R39-R5-R7-R9-R11-R13-R15-R17-R19-R21-R23-R25-R27-R29-R31-R33-R35,IF(COUNTIF(A49:A65,TRUE) = 17,R39-R5-R7-R9-R11-R13-R15-R17-R19-R21-R23-R25-R27-R29-R31-R33-R35-R37,"falsche Eingabe"))))))))))))))))))</f>
        <v>5.6291666666666682</v>
      </c>
      <c r="S40" s="167"/>
      <c r="T40" s="178"/>
      <c r="U40" s="166">
        <f>U39-SUM(U5:U16)</f>
        <v>8.6805555555555554</v>
      </c>
      <c r="V40" s="167"/>
      <c r="W40" s="178"/>
      <c r="X40" s="166">
        <f>IF(COUNTIF(A49:A65,TRUE)=0,X39,IF(COUNTIF(A49:A65,TRUE)=1,X39-X5,IF(COUNTIF(A49:A65,TRUE)=2,X39-X5-X7,IF(COUNTIF(A49:A65,TRUE) = 3,X39-X5-X7-X9,IF(COUNTIF(A49:A65,TRUE)=4,X39-X5-X7-X9-X11,IF(COUNTIF(A49:A65,TRUE) = 5,X39-X5-X7-X9-X11-X13,IF(COUNTIF(A49:A65,TRUE) = 6,X39-X5-X7-X9-X11-X13-X15,IF(COUNTIF(A49:A65,TRUE) = 7,X39-X5-X7-X9-X11-X13-X15-X17,IF(COUNTIF(A49:A65,TRUE) = 8,X39-X5-X7-X9-X11-X13-X15-X17-X19,IF(COUNTIF(A49:A65,TRUE) = 9,X39-X5-X7-X9-X11-X13-X15-X17-X19-X21,IF(COUNTIF(A49:A65,TRUE) = 10,X39-X5-X7-X9-X11-X13-X15-X17-X19-X21-X23,IF(COUNTIF(A49:A65,TRUE) = 11,X39-X5-X7-X9-X11-X13-X15-X17-X19-X21-X23-X25,IF(COUNTIF(A49:A65,TRUE) = 12,X39-X5-X7-X9-X11-X13-X15-X17-X19-X21-X23-X25-X27,IF(COUNTIF(A49:A65,TRUE) = 13,X39-X5-X7-X9-X11-X13-X15-X17-X19-X21-X23-X25-X27-X29,IF(COUNTIF(A49:A65,TRUE) = 14,X39-X5-X7-X9-X11-X13-X15-X17-X19-X21-X23-X25-X27-X29-X31,IF(COUNTIF(A49:A65,TRUE) = 15,X39-X5-X7-X9-X11-X13-X15-X17-X19-X21-X23-X25-X27-X29-X31-X33,IF(COUNTIF(A49:A65,TRUE) = 16,X39-X5-X7-X9-X11-X13-X15-X17-X19-X21-X23-X25-X27-X29-X31-X33-X35,IF(COUNTIF(A49:A65,TRUE) = 17,X39-X5-X7-X9-X11-X13-X15-X17-X19-X21-X23-X25-X27-X29-X31-X33-X35-X37,"falsche Eingabe"))))))))))))))))))</f>
        <v>4.7451388888888886</v>
      </c>
      <c r="Y40" s="167"/>
      <c r="Z40" s="178"/>
    </row>
    <row r="41" spans="1:26" x14ac:dyDescent="0.25">
      <c r="E41" s="2"/>
    </row>
    <row r="42" spans="1:26" x14ac:dyDescent="0.25">
      <c r="A42" s="158" t="s">
        <v>41</v>
      </c>
      <c r="B42" s="158"/>
      <c r="C42" s="159">
        <f>COUNTIF(A49:A65,FALSE)</f>
        <v>8</v>
      </c>
    </row>
    <row r="43" spans="1:26" x14ac:dyDescent="0.25">
      <c r="A43" s="158"/>
      <c r="B43" s="158"/>
      <c r="C43" s="159"/>
    </row>
    <row r="49" spans="1:1" x14ac:dyDescent="0.25">
      <c r="A49" s="104" t="b">
        <v>1</v>
      </c>
    </row>
    <row r="50" spans="1:1" x14ac:dyDescent="0.25">
      <c r="A50" s="104" t="b">
        <v>1</v>
      </c>
    </row>
    <row r="51" spans="1:1" x14ac:dyDescent="0.25">
      <c r="A51" s="104" t="b">
        <v>1</v>
      </c>
    </row>
    <row r="52" spans="1:1" x14ac:dyDescent="0.25">
      <c r="A52" s="104" t="b">
        <v>1</v>
      </c>
    </row>
    <row r="53" spans="1:1" x14ac:dyDescent="0.25">
      <c r="A53" s="104" t="b">
        <v>1</v>
      </c>
    </row>
    <row r="54" spans="1:1" x14ac:dyDescent="0.25">
      <c r="A54" s="104" t="b">
        <v>1</v>
      </c>
    </row>
    <row r="55" spans="1:1" x14ac:dyDescent="0.25">
      <c r="A55" s="104" t="b">
        <v>1</v>
      </c>
    </row>
    <row r="56" spans="1:1" x14ac:dyDescent="0.25">
      <c r="A56" s="104" t="b">
        <v>1</v>
      </c>
    </row>
    <row r="57" spans="1:1" x14ac:dyDescent="0.25">
      <c r="A57" s="104" t="b">
        <v>1</v>
      </c>
    </row>
    <row r="58" spans="1:1" x14ac:dyDescent="0.25">
      <c r="A58" s="104" t="b">
        <v>0</v>
      </c>
    </row>
    <row r="59" spans="1:1" x14ac:dyDescent="0.25">
      <c r="A59" s="104" t="b">
        <v>0</v>
      </c>
    </row>
    <row r="60" spans="1:1" x14ac:dyDescent="0.25">
      <c r="A60" s="104" t="b">
        <v>0</v>
      </c>
    </row>
    <row r="61" spans="1:1" x14ac:dyDescent="0.25">
      <c r="A61" s="104" t="b">
        <v>0</v>
      </c>
    </row>
    <row r="62" spans="1:1" x14ac:dyDescent="0.25">
      <c r="A62" s="104" t="b">
        <v>0</v>
      </c>
    </row>
    <row r="63" spans="1:1" x14ac:dyDescent="0.25">
      <c r="A63" s="104" t="b">
        <v>0</v>
      </c>
    </row>
    <row r="64" spans="1:1" x14ac:dyDescent="0.25">
      <c r="A64" s="104" t="b">
        <v>0</v>
      </c>
    </row>
    <row r="65" spans="1:1" x14ac:dyDescent="0.25">
      <c r="A65" s="104" t="b">
        <v>0</v>
      </c>
    </row>
  </sheetData>
  <mergeCells count="384">
    <mergeCell ref="U39:W39"/>
    <mergeCell ref="X39:Z39"/>
    <mergeCell ref="U40:W40"/>
    <mergeCell ref="X40:Z40"/>
    <mergeCell ref="U31:U32"/>
    <mergeCell ref="V31:V32"/>
    <mergeCell ref="W31:W32"/>
    <mergeCell ref="X31:X32"/>
    <mergeCell ref="Y31:Y32"/>
    <mergeCell ref="Z31:Z32"/>
    <mergeCell ref="U29:U30"/>
    <mergeCell ref="V29:V30"/>
    <mergeCell ref="W29:W30"/>
    <mergeCell ref="X29:X30"/>
    <mergeCell ref="Y29:Y30"/>
    <mergeCell ref="Z29:Z30"/>
    <mergeCell ref="U27:U28"/>
    <mergeCell ref="V27:V28"/>
    <mergeCell ref="W27:W28"/>
    <mergeCell ref="X27:X28"/>
    <mergeCell ref="Y27:Y28"/>
    <mergeCell ref="Z27:Z28"/>
    <mergeCell ref="U25:U26"/>
    <mergeCell ref="V25:V26"/>
    <mergeCell ref="W25:W26"/>
    <mergeCell ref="X25:X26"/>
    <mergeCell ref="Y25:Y26"/>
    <mergeCell ref="Z25:Z26"/>
    <mergeCell ref="U23:U24"/>
    <mergeCell ref="V23:V24"/>
    <mergeCell ref="W23:W24"/>
    <mergeCell ref="X23:X24"/>
    <mergeCell ref="Y23:Y24"/>
    <mergeCell ref="Z23:Z24"/>
    <mergeCell ref="U21:U22"/>
    <mergeCell ref="V21:V22"/>
    <mergeCell ref="W21:W22"/>
    <mergeCell ref="X21:X22"/>
    <mergeCell ref="Y21:Y22"/>
    <mergeCell ref="Z21:Z22"/>
    <mergeCell ref="U19:U20"/>
    <mergeCell ref="V19:V20"/>
    <mergeCell ref="W19:W20"/>
    <mergeCell ref="X19:X20"/>
    <mergeCell ref="Y19:Y20"/>
    <mergeCell ref="Z19:Z20"/>
    <mergeCell ref="X17:X18"/>
    <mergeCell ref="Y17:Y18"/>
    <mergeCell ref="Z17:Z18"/>
    <mergeCell ref="Z13:Z14"/>
    <mergeCell ref="U15:U16"/>
    <mergeCell ref="V15:V16"/>
    <mergeCell ref="W15:W16"/>
    <mergeCell ref="X15:X16"/>
    <mergeCell ref="Y15:Y16"/>
    <mergeCell ref="Z15:Z16"/>
    <mergeCell ref="U17:W18"/>
    <mergeCell ref="V11:V12"/>
    <mergeCell ref="W11:W12"/>
    <mergeCell ref="X11:X12"/>
    <mergeCell ref="Y11:Y12"/>
    <mergeCell ref="Z11:Z12"/>
    <mergeCell ref="U13:U14"/>
    <mergeCell ref="V13:V14"/>
    <mergeCell ref="W13:W14"/>
    <mergeCell ref="X13:X14"/>
    <mergeCell ref="Y13:Y14"/>
    <mergeCell ref="X7:X8"/>
    <mergeCell ref="Y7:Y8"/>
    <mergeCell ref="Z7:Z8"/>
    <mergeCell ref="U9:U10"/>
    <mergeCell ref="V9:V10"/>
    <mergeCell ref="W9:W10"/>
    <mergeCell ref="X9:X10"/>
    <mergeCell ref="Y9:Y10"/>
    <mergeCell ref="Z9:Z10"/>
    <mergeCell ref="X3:Z3"/>
    <mergeCell ref="U5:U6"/>
    <mergeCell ref="V5:V6"/>
    <mergeCell ref="W5:W6"/>
    <mergeCell ref="X5:X6"/>
    <mergeCell ref="Y5:Y6"/>
    <mergeCell ref="Z5:Z6"/>
    <mergeCell ref="R31:R32"/>
    <mergeCell ref="S31:S32"/>
    <mergeCell ref="T31:T32"/>
    <mergeCell ref="T21:T22"/>
    <mergeCell ref="R15:R16"/>
    <mergeCell ref="S15:S16"/>
    <mergeCell ref="T15:T16"/>
    <mergeCell ref="R17:R18"/>
    <mergeCell ref="S17:S18"/>
    <mergeCell ref="T17:T18"/>
    <mergeCell ref="S9:S10"/>
    <mergeCell ref="T9:T10"/>
    <mergeCell ref="R11:R12"/>
    <mergeCell ref="S11:S12"/>
    <mergeCell ref="T11:T12"/>
    <mergeCell ref="R13:R14"/>
    <mergeCell ref="S13:S14"/>
    <mergeCell ref="R39:T39"/>
    <mergeCell ref="R40:T40"/>
    <mergeCell ref="U3:W3"/>
    <mergeCell ref="U7:U8"/>
    <mergeCell ref="V7:V8"/>
    <mergeCell ref="W7:W8"/>
    <mergeCell ref="U11:U12"/>
    <mergeCell ref="R27:R28"/>
    <mergeCell ref="S27:S28"/>
    <mergeCell ref="T27:T28"/>
    <mergeCell ref="R29:R30"/>
    <mergeCell ref="S29:S30"/>
    <mergeCell ref="T29:T30"/>
    <mergeCell ref="R23:R24"/>
    <mergeCell ref="S23:S24"/>
    <mergeCell ref="T23:T24"/>
    <mergeCell ref="R25:R26"/>
    <mergeCell ref="S25:S26"/>
    <mergeCell ref="T25:T26"/>
    <mergeCell ref="R19:R20"/>
    <mergeCell ref="S19:S20"/>
    <mergeCell ref="T19:T20"/>
    <mergeCell ref="R21:R22"/>
    <mergeCell ref="S21:S22"/>
    <mergeCell ref="T13:T14"/>
    <mergeCell ref="O39:Q39"/>
    <mergeCell ref="O40:Q40"/>
    <mergeCell ref="R3:T3"/>
    <mergeCell ref="R5:R6"/>
    <mergeCell ref="S5:S6"/>
    <mergeCell ref="T5:T6"/>
    <mergeCell ref="R7:R8"/>
    <mergeCell ref="S7:S8"/>
    <mergeCell ref="T7:T8"/>
    <mergeCell ref="R9:R10"/>
    <mergeCell ref="Q21:Q22"/>
    <mergeCell ref="Q23:Q24"/>
    <mergeCell ref="Q25:Q26"/>
    <mergeCell ref="Q27:Q28"/>
    <mergeCell ref="Q29:Q30"/>
    <mergeCell ref="Q31:Q32"/>
    <mergeCell ref="O21:O22"/>
    <mergeCell ref="P21:P22"/>
    <mergeCell ref="O23:O24"/>
    <mergeCell ref="P23:P24"/>
    <mergeCell ref="O17:O18"/>
    <mergeCell ref="P17:P18"/>
    <mergeCell ref="O19:O20"/>
    <mergeCell ref="L39:N39"/>
    <mergeCell ref="O29:O30"/>
    <mergeCell ref="P29:P30"/>
    <mergeCell ref="O31:O32"/>
    <mergeCell ref="P31:P32"/>
    <mergeCell ref="O25:O26"/>
    <mergeCell ref="P25:P26"/>
    <mergeCell ref="O27:O28"/>
    <mergeCell ref="P27:P28"/>
    <mergeCell ref="L31:L32"/>
    <mergeCell ref="O3:Q3"/>
    <mergeCell ref="Q5:Q6"/>
    <mergeCell ref="Q7:Q8"/>
    <mergeCell ref="Q9:Q10"/>
    <mergeCell ref="Q11:Q12"/>
    <mergeCell ref="Q13:Q14"/>
    <mergeCell ref="Q15:Q16"/>
    <mergeCell ref="Q17:Q18"/>
    <mergeCell ref="Q19:Q20"/>
    <mergeCell ref="P19:P20"/>
    <mergeCell ref="P11:P12"/>
    <mergeCell ref="H3:H4"/>
    <mergeCell ref="I40:K40"/>
    <mergeCell ref="E19:F19"/>
    <mergeCell ref="E11:F11"/>
    <mergeCell ref="E7:F7"/>
    <mergeCell ref="L3:N3"/>
    <mergeCell ref="L5:L6"/>
    <mergeCell ref="M29:M30"/>
    <mergeCell ref="N29:N30"/>
    <mergeCell ref="M31:M32"/>
    <mergeCell ref="N31:N32"/>
    <mergeCell ref="M25:M26"/>
    <mergeCell ref="N25:N26"/>
    <mergeCell ref="M27:M28"/>
    <mergeCell ref="N27:N28"/>
    <mergeCell ref="M21:M22"/>
    <mergeCell ref="N21:N22"/>
    <mergeCell ref="M23:M24"/>
    <mergeCell ref="N23:N24"/>
    <mergeCell ref="N17:N18"/>
    <mergeCell ref="M19:M20"/>
    <mergeCell ref="N19:N20"/>
    <mergeCell ref="L29:L30"/>
    <mergeCell ref="L40:N40"/>
    <mergeCell ref="N13:N14"/>
    <mergeCell ref="O13:O14"/>
    <mergeCell ref="P13:P14"/>
    <mergeCell ref="M15:M16"/>
    <mergeCell ref="N15:N16"/>
    <mergeCell ref="O15:O16"/>
    <mergeCell ref="P15:P16"/>
    <mergeCell ref="P5:P6"/>
    <mergeCell ref="M7:M8"/>
    <mergeCell ref="N7:N8"/>
    <mergeCell ref="O7:O8"/>
    <mergeCell ref="P7:P8"/>
    <mergeCell ref="M9:M10"/>
    <mergeCell ref="N9:N10"/>
    <mergeCell ref="O9:O10"/>
    <mergeCell ref="P9:P10"/>
    <mergeCell ref="M5:M6"/>
    <mergeCell ref="N5:N6"/>
    <mergeCell ref="O5:O6"/>
    <mergeCell ref="M11:M12"/>
    <mergeCell ref="N11:N12"/>
    <mergeCell ref="O11:O12"/>
    <mergeCell ref="M17:M18"/>
    <mergeCell ref="L17:L18"/>
    <mergeCell ref="L19:L20"/>
    <mergeCell ref="L21:L22"/>
    <mergeCell ref="L23:L24"/>
    <mergeCell ref="L25:L26"/>
    <mergeCell ref="L27:L28"/>
    <mergeCell ref="L7:L8"/>
    <mergeCell ref="L9:L10"/>
    <mergeCell ref="L11:L12"/>
    <mergeCell ref="L13:L14"/>
    <mergeCell ref="L15:L16"/>
    <mergeCell ref="M13:M14"/>
    <mergeCell ref="H31:H32"/>
    <mergeCell ref="H17:H18"/>
    <mergeCell ref="H19:H20"/>
    <mergeCell ref="H21:H22"/>
    <mergeCell ref="H23:H24"/>
    <mergeCell ref="H25:H26"/>
    <mergeCell ref="H27:H28"/>
    <mergeCell ref="H5:H6"/>
    <mergeCell ref="H7:H8"/>
    <mergeCell ref="H9:H10"/>
    <mergeCell ref="H11:H12"/>
    <mergeCell ref="H13:H14"/>
    <mergeCell ref="H15:H16"/>
    <mergeCell ref="K31:K32"/>
    <mergeCell ref="A42:B43"/>
    <mergeCell ref="C42:C43"/>
    <mergeCell ref="I39:K39"/>
    <mergeCell ref="K19:K20"/>
    <mergeCell ref="K21:K22"/>
    <mergeCell ref="K23:K24"/>
    <mergeCell ref="K25:K26"/>
    <mergeCell ref="K27:K28"/>
    <mergeCell ref="K29:K30"/>
    <mergeCell ref="I29:I30"/>
    <mergeCell ref="I31:I32"/>
    <mergeCell ref="I19:I20"/>
    <mergeCell ref="I21:I22"/>
    <mergeCell ref="I23:I24"/>
    <mergeCell ref="I25:I26"/>
    <mergeCell ref="I27:I28"/>
    <mergeCell ref="J25:J26"/>
    <mergeCell ref="J27:J28"/>
    <mergeCell ref="J29:J30"/>
    <mergeCell ref="J31:J32"/>
    <mergeCell ref="J19:J20"/>
    <mergeCell ref="J21:J22"/>
    <mergeCell ref="H29:H30"/>
    <mergeCell ref="I17:I18"/>
    <mergeCell ref="I5:I6"/>
    <mergeCell ref="I7:I8"/>
    <mergeCell ref="I9:I10"/>
    <mergeCell ref="I11:I12"/>
    <mergeCell ref="I13:I14"/>
    <mergeCell ref="I15:I16"/>
    <mergeCell ref="J13:J14"/>
    <mergeCell ref="J15:J16"/>
    <mergeCell ref="J17:J18"/>
    <mergeCell ref="D27:D28"/>
    <mergeCell ref="D29:D30"/>
    <mergeCell ref="D31:D32"/>
    <mergeCell ref="D7:D8"/>
    <mergeCell ref="D9:D10"/>
    <mergeCell ref="D11:D12"/>
    <mergeCell ref="D13:D14"/>
    <mergeCell ref="D15:D16"/>
    <mergeCell ref="D17:D18"/>
    <mergeCell ref="D19:D20"/>
    <mergeCell ref="C26:C27"/>
    <mergeCell ref="C28:C29"/>
    <mergeCell ref="C30:C31"/>
    <mergeCell ref="C32:C33"/>
    <mergeCell ref="C12:C13"/>
    <mergeCell ref="C14:C15"/>
    <mergeCell ref="C16:C17"/>
    <mergeCell ref="C18:C19"/>
    <mergeCell ref="C20:C21"/>
    <mergeCell ref="C22:C23"/>
    <mergeCell ref="C4:C5"/>
    <mergeCell ref="C6:C7"/>
    <mergeCell ref="C8:C9"/>
    <mergeCell ref="C10:C11"/>
    <mergeCell ref="D4:D6"/>
    <mergeCell ref="J9:J10"/>
    <mergeCell ref="J11:J12"/>
    <mergeCell ref="A1:I1"/>
    <mergeCell ref="C24:C25"/>
    <mergeCell ref="J23:J24"/>
    <mergeCell ref="J5:J6"/>
    <mergeCell ref="J7:J8"/>
    <mergeCell ref="D21:D22"/>
    <mergeCell ref="D23:D24"/>
    <mergeCell ref="D25:D26"/>
    <mergeCell ref="E18:F18"/>
    <mergeCell ref="I3:K3"/>
    <mergeCell ref="K5:K6"/>
    <mergeCell ref="K7:K8"/>
    <mergeCell ref="K9:K10"/>
    <mergeCell ref="K11:K12"/>
    <mergeCell ref="K13:K14"/>
    <mergeCell ref="K15:K16"/>
    <mergeCell ref="K17:K18"/>
    <mergeCell ref="D33:D34"/>
    <mergeCell ref="D35:D36"/>
    <mergeCell ref="D37:D38"/>
    <mergeCell ref="C34:C35"/>
    <mergeCell ref="C36:C37"/>
    <mergeCell ref="C38:C39"/>
    <mergeCell ref="E36:F36"/>
    <mergeCell ref="E39:F39"/>
    <mergeCell ref="H33:H34"/>
    <mergeCell ref="H35:H36"/>
    <mergeCell ref="H37:H38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3:S34"/>
    <mergeCell ref="T33:T34"/>
    <mergeCell ref="U33:U34"/>
    <mergeCell ref="V33:V34"/>
    <mergeCell ref="W33:W34"/>
    <mergeCell ref="X33:X34"/>
    <mergeCell ref="Y33:Y34"/>
    <mergeCell ref="Z33:Z34"/>
    <mergeCell ref="I35:I36"/>
    <mergeCell ref="J35:J36"/>
    <mergeCell ref="K35:K36"/>
    <mergeCell ref="L35:L36"/>
    <mergeCell ref="M35:M36"/>
    <mergeCell ref="N35:N36"/>
    <mergeCell ref="O35:O36"/>
    <mergeCell ref="P35:P36"/>
    <mergeCell ref="Q35:Q36"/>
    <mergeCell ref="R35:R36"/>
    <mergeCell ref="S35:S36"/>
    <mergeCell ref="T35:T36"/>
    <mergeCell ref="U35:U36"/>
    <mergeCell ref="V35:V36"/>
    <mergeCell ref="W35:W36"/>
    <mergeCell ref="X35:X36"/>
    <mergeCell ref="Y35:Y36"/>
    <mergeCell ref="Z35:Z36"/>
    <mergeCell ref="I37:I38"/>
    <mergeCell ref="J37:J38"/>
    <mergeCell ref="K37:K38"/>
    <mergeCell ref="L37:L38"/>
    <mergeCell ref="M37:M38"/>
    <mergeCell ref="N37:N38"/>
    <mergeCell ref="O37:O38"/>
    <mergeCell ref="P37:P38"/>
    <mergeCell ref="Q37:Q38"/>
    <mergeCell ref="R37:R38"/>
    <mergeCell ref="S37:S38"/>
    <mergeCell ref="T37:T38"/>
    <mergeCell ref="U37:U38"/>
    <mergeCell ref="V37:V38"/>
    <mergeCell ref="W37:W38"/>
    <mergeCell ref="X37:X38"/>
    <mergeCell ref="Y37:Y38"/>
    <mergeCell ref="Z37:Z38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7</xdr:col>
                    <xdr:colOff>409575</xdr:colOff>
                    <xdr:row>6</xdr:row>
                    <xdr:rowOff>28575</xdr:rowOff>
                  </from>
                  <to>
                    <xdr:col>7</xdr:col>
                    <xdr:colOff>790575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409575</xdr:colOff>
                    <xdr:row>8</xdr:row>
                    <xdr:rowOff>28575</xdr:rowOff>
                  </from>
                  <to>
                    <xdr:col>7</xdr:col>
                    <xdr:colOff>790575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409575</xdr:colOff>
                    <xdr:row>10</xdr:row>
                    <xdr:rowOff>28575</xdr:rowOff>
                  </from>
                  <to>
                    <xdr:col>7</xdr:col>
                    <xdr:colOff>790575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7</xdr:col>
                    <xdr:colOff>409575</xdr:colOff>
                    <xdr:row>12</xdr:row>
                    <xdr:rowOff>28575</xdr:rowOff>
                  </from>
                  <to>
                    <xdr:col>7</xdr:col>
                    <xdr:colOff>790575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7</xdr:col>
                    <xdr:colOff>409575</xdr:colOff>
                    <xdr:row>14</xdr:row>
                    <xdr:rowOff>28575</xdr:rowOff>
                  </from>
                  <to>
                    <xdr:col>7</xdr:col>
                    <xdr:colOff>790575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7</xdr:col>
                    <xdr:colOff>409575</xdr:colOff>
                    <xdr:row>16</xdr:row>
                    <xdr:rowOff>28575</xdr:rowOff>
                  </from>
                  <to>
                    <xdr:col>7</xdr:col>
                    <xdr:colOff>790575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7</xdr:col>
                    <xdr:colOff>409575</xdr:colOff>
                    <xdr:row>18</xdr:row>
                    <xdr:rowOff>28575</xdr:rowOff>
                  </from>
                  <to>
                    <xdr:col>7</xdr:col>
                    <xdr:colOff>790575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7</xdr:col>
                    <xdr:colOff>409575</xdr:colOff>
                    <xdr:row>20</xdr:row>
                    <xdr:rowOff>28575</xdr:rowOff>
                  </from>
                  <to>
                    <xdr:col>7</xdr:col>
                    <xdr:colOff>790575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7</xdr:col>
                    <xdr:colOff>409575</xdr:colOff>
                    <xdr:row>22</xdr:row>
                    <xdr:rowOff>28575</xdr:rowOff>
                  </from>
                  <to>
                    <xdr:col>7</xdr:col>
                    <xdr:colOff>790575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409575</xdr:colOff>
                    <xdr:row>24</xdr:row>
                    <xdr:rowOff>28575</xdr:rowOff>
                  </from>
                  <to>
                    <xdr:col>7</xdr:col>
                    <xdr:colOff>790575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7</xdr:col>
                    <xdr:colOff>409575</xdr:colOff>
                    <xdr:row>26</xdr:row>
                    <xdr:rowOff>28575</xdr:rowOff>
                  </from>
                  <to>
                    <xdr:col>7</xdr:col>
                    <xdr:colOff>790575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7</xdr:col>
                    <xdr:colOff>409575</xdr:colOff>
                    <xdr:row>28</xdr:row>
                    <xdr:rowOff>28575</xdr:rowOff>
                  </from>
                  <to>
                    <xdr:col>7</xdr:col>
                    <xdr:colOff>790575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7</xdr:col>
                    <xdr:colOff>409575</xdr:colOff>
                    <xdr:row>30</xdr:row>
                    <xdr:rowOff>28575</xdr:rowOff>
                  </from>
                  <to>
                    <xdr:col>7</xdr:col>
                    <xdr:colOff>790575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7</xdr:col>
                    <xdr:colOff>409575</xdr:colOff>
                    <xdr:row>4</xdr:row>
                    <xdr:rowOff>28575</xdr:rowOff>
                  </from>
                  <to>
                    <xdr:col>7</xdr:col>
                    <xdr:colOff>790575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Check Box 16">
              <controlPr defaultSize="0" autoFill="0" autoLine="0" autoPict="0">
                <anchor moveWithCells="1">
                  <from>
                    <xdr:col>7</xdr:col>
                    <xdr:colOff>409575</xdr:colOff>
                    <xdr:row>32</xdr:row>
                    <xdr:rowOff>28575</xdr:rowOff>
                  </from>
                  <to>
                    <xdr:col>7</xdr:col>
                    <xdr:colOff>790575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Check Box 17">
              <controlPr defaultSize="0" autoFill="0" autoLine="0" autoPict="0">
                <anchor moveWithCells="1">
                  <from>
                    <xdr:col>7</xdr:col>
                    <xdr:colOff>409575</xdr:colOff>
                    <xdr:row>34</xdr:row>
                    <xdr:rowOff>28575</xdr:rowOff>
                  </from>
                  <to>
                    <xdr:col>7</xdr:col>
                    <xdr:colOff>790575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Check Box 18">
              <controlPr defaultSize="0" autoFill="0" autoLine="0" autoPict="0">
                <anchor moveWithCells="1">
                  <from>
                    <xdr:col>7</xdr:col>
                    <xdr:colOff>409575</xdr:colOff>
                    <xdr:row>36</xdr:row>
                    <xdr:rowOff>28575</xdr:rowOff>
                  </from>
                  <to>
                    <xdr:col>7</xdr:col>
                    <xdr:colOff>790575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B6E0F-3090-4111-9C1C-C97D81377208}">
  <sheetPr codeName="Tabelle9"/>
  <dimension ref="A1:I38"/>
  <sheetViews>
    <sheetView topLeftCell="A4" workbookViewId="0">
      <selection activeCell="C37" sqref="C37:C38"/>
    </sheetView>
  </sheetViews>
  <sheetFormatPr baseColWidth="10" defaultRowHeight="15" x14ac:dyDescent="0.25"/>
  <cols>
    <col min="3" max="3" width="17.42578125" customWidth="1"/>
    <col min="7" max="7" width="15.140625" customWidth="1"/>
  </cols>
  <sheetData>
    <row r="1" spans="1:9" ht="26.25" x14ac:dyDescent="0.4">
      <c r="A1" s="189" t="s">
        <v>81</v>
      </c>
      <c r="B1" s="189"/>
      <c r="C1" s="189"/>
    </row>
    <row r="3" spans="1:9" x14ac:dyDescent="0.25">
      <c r="B3" s="190"/>
      <c r="C3" s="191" t="s">
        <v>57</v>
      </c>
      <c r="D3" s="191" t="s">
        <v>45</v>
      </c>
      <c r="E3" s="191" t="s">
        <v>58</v>
      </c>
      <c r="F3" s="191" t="s">
        <v>46</v>
      </c>
      <c r="G3" s="191" t="s">
        <v>55</v>
      </c>
      <c r="H3" s="191" t="s">
        <v>47</v>
      </c>
      <c r="I3" s="149" t="s">
        <v>43</v>
      </c>
    </row>
    <row r="4" spans="1:9" x14ac:dyDescent="0.25">
      <c r="B4" s="190"/>
      <c r="C4" s="191"/>
      <c r="D4" s="191"/>
      <c r="E4" s="191"/>
      <c r="F4" s="191"/>
      <c r="G4" s="191"/>
      <c r="H4" s="191"/>
      <c r="I4" s="149"/>
    </row>
    <row r="5" spans="1:9" x14ac:dyDescent="0.25">
      <c r="B5" s="143" t="s">
        <v>37</v>
      </c>
      <c r="C5" s="187">
        <f>SUM(Pellekoorne!C4,Gutsche!C4,Lapp!C4,Martschenko!C4,Soboth!C4,Stephan!C4)</f>
        <v>0</v>
      </c>
      <c r="D5" s="187">
        <f>SUM(Pellekoorne!D4,Gutsche!D4,Lapp!D4,Martschenko!D4,Soboth!D4,Stephan!D4)</f>
        <v>0</v>
      </c>
      <c r="E5" s="187">
        <f>SUM(Pellekoorne!E4,Gutsche!E4,Lapp!E4,Martschenko!E4,Soboth!E4,Stephan!E4)</f>
        <v>0.10416666666666667</v>
      </c>
      <c r="F5" s="187">
        <f>SUM(Pellekoorne!F4,Gutsche!F4,Lapp!F4,Martschenko!F4,Soboth!F4,Stephan!F4)</f>
        <v>1.4861111111111112</v>
      </c>
      <c r="G5" s="187">
        <f>SUM(Pellekoorne!G4,Gutsche!G4,Lapp!G4,Martschenko!G4,Soboth!G4,Stephan!G4)</f>
        <v>0.29166666666666663</v>
      </c>
      <c r="H5" s="187">
        <f>SUM(Pellekoorne!H4,Gutsche!H4,Lapp!H4,Martschenko!H4,Soboth!H4,Stephan!H4)</f>
        <v>1.7500000000000002</v>
      </c>
      <c r="I5" s="187">
        <f>SUM(C5:H6)</f>
        <v>3.6319444444444446</v>
      </c>
    </row>
    <row r="6" spans="1:9" x14ac:dyDescent="0.25">
      <c r="B6" s="145"/>
      <c r="C6" s="188"/>
      <c r="D6" s="188"/>
      <c r="E6" s="188"/>
      <c r="F6" s="188"/>
      <c r="G6" s="188"/>
      <c r="H6" s="188"/>
      <c r="I6" s="188"/>
    </row>
    <row r="7" spans="1:9" x14ac:dyDescent="0.25">
      <c r="B7" s="185" t="s">
        <v>1</v>
      </c>
      <c r="C7" s="187">
        <f>SUM(Pellekoorne!C6,Gutsche!C6,Lapp!C6,Martschenko!C6,Soboth!C6,Stephan!C6)</f>
        <v>1.2923611111111113</v>
      </c>
      <c r="D7" s="187">
        <f>SUM(Pellekoorne!D6,Gutsche!D6,Lapp!D6,Martschenko!D6,Soboth!D6,Stephan!D6)</f>
        <v>0.12222222222222222</v>
      </c>
      <c r="E7" s="187">
        <f>SUM(Pellekoorne!E6,Gutsche!E6,Lapp!E6,Martschenko!E6,Soboth!E6,Stephan!E6)</f>
        <v>0.51388888888888884</v>
      </c>
      <c r="F7" s="187">
        <f>SUM(Pellekoorne!F6,Gutsche!F6,Lapp!F6,Martschenko!F6,Soboth!F6,Stephan!F6)</f>
        <v>0.3125</v>
      </c>
      <c r="G7" s="187">
        <f>SUM(Pellekoorne!G6,Gutsche!G6,Lapp!G6,Martschenko!G6,Soboth!G6,Stephan!G6)</f>
        <v>1.3611111111111112</v>
      </c>
      <c r="H7" s="187">
        <f>SUM(Pellekoorne!H6,Gutsche!H6,Lapp!H6,Martschenko!H6,Soboth!H6,Stephan!H6)</f>
        <v>0.49999999999999994</v>
      </c>
      <c r="I7" s="187">
        <f t="shared" ref="I7" si="0">SUM(C7:H8)</f>
        <v>4.1020833333333329</v>
      </c>
    </row>
    <row r="8" spans="1:9" x14ac:dyDescent="0.25">
      <c r="B8" s="186"/>
      <c r="C8" s="188"/>
      <c r="D8" s="188"/>
      <c r="E8" s="188"/>
      <c r="F8" s="188"/>
      <c r="G8" s="188"/>
      <c r="H8" s="188"/>
      <c r="I8" s="188"/>
    </row>
    <row r="9" spans="1:9" x14ac:dyDescent="0.25">
      <c r="B9" s="185" t="s">
        <v>2</v>
      </c>
      <c r="C9" s="187">
        <f>SUM(Pellekoorne!C8,Gutsche!C8,Lapp!C8,Martschenko!C8,Soboth!C8,Stephan!C8)</f>
        <v>2.1701388888888888</v>
      </c>
      <c r="D9" s="187">
        <f>SUM(Pellekoorne!D8,Gutsche!D8,Lapp!D8,Martschenko!D8,Soboth!D8,Stephan!D8)</f>
        <v>8.5416666666666669E-2</v>
      </c>
      <c r="E9" s="187">
        <f>SUM(Pellekoorne!E8,Gutsche!E8,Lapp!E8,Martschenko!E8,Soboth!E8,Stephan!E8)</f>
        <v>0.64305555555555571</v>
      </c>
      <c r="F9" s="187">
        <f>SUM(Pellekoorne!F8,Gutsche!F8,Lapp!F8,Martschenko!F8,Soboth!F8,Stephan!F8)</f>
        <v>0.1388888888888889</v>
      </c>
      <c r="G9" s="187">
        <f>SUM(Pellekoorne!G8,Gutsche!G8,Lapp!G8,Martschenko!G8,Soboth!G8,Stephan!G8)</f>
        <v>0.76249999999999996</v>
      </c>
      <c r="H9" s="187">
        <f>SUM(Pellekoorne!H8,Gutsche!H8,Lapp!H8,Martschenko!H8,Soboth!H8,Stephan!H8)</f>
        <v>0.69861111111111096</v>
      </c>
      <c r="I9" s="187">
        <f t="shared" ref="I9" si="1">SUM(C9:H10)</f>
        <v>4.4986111111111109</v>
      </c>
    </row>
    <row r="10" spans="1:9" x14ac:dyDescent="0.25">
      <c r="B10" s="186"/>
      <c r="C10" s="188"/>
      <c r="D10" s="188"/>
      <c r="E10" s="188"/>
      <c r="F10" s="188"/>
      <c r="G10" s="188"/>
      <c r="H10" s="188"/>
      <c r="I10" s="188"/>
    </row>
    <row r="11" spans="1:9" x14ac:dyDescent="0.25">
      <c r="B11" s="185" t="s">
        <v>3</v>
      </c>
      <c r="C11" s="187">
        <f>SUM(Pellekoorne!C10,Gutsche!C10,Lapp!C10,Martschenko!C10,Soboth!C10,Stephan!C10)</f>
        <v>1.9145833333333333</v>
      </c>
      <c r="D11" s="187">
        <f>SUM(Pellekoorne!D10,Gutsche!D10,Lapp!D10,Martschenko!D10,Soboth!D10,Stephan!D10)</f>
        <v>0.13194444444444445</v>
      </c>
      <c r="E11" s="187">
        <f>SUM(Pellekoorne!E10,Gutsche!E10,Lapp!E10,Martschenko!E10,Soboth!E10,Stephan!E10)</f>
        <v>0.3125</v>
      </c>
      <c r="F11" s="187">
        <f>SUM(Pellekoorne!F10,Gutsche!F10,Lapp!F10,Martschenko!F10,Soboth!F10,Stephan!F10)</f>
        <v>0.39097222222222228</v>
      </c>
      <c r="G11" s="187">
        <f>SUM(Pellekoorne!G10,Gutsche!G10,Lapp!G10,Martschenko!G10,Soboth!G10,Stephan!G10)</f>
        <v>0.66666666666666663</v>
      </c>
      <c r="H11" s="187">
        <f>SUM(Pellekoorne!H10,Gutsche!H10,Lapp!H10,Martschenko!H10,Soboth!H10,Stephan!H10)</f>
        <v>0.51041666666666663</v>
      </c>
      <c r="I11" s="187">
        <f t="shared" ref="I11" si="2">SUM(C11:H12)</f>
        <v>3.927083333333333</v>
      </c>
    </row>
    <row r="12" spans="1:9" x14ac:dyDescent="0.25">
      <c r="B12" s="186"/>
      <c r="C12" s="188"/>
      <c r="D12" s="188"/>
      <c r="E12" s="188"/>
      <c r="F12" s="188"/>
      <c r="G12" s="188"/>
      <c r="H12" s="188"/>
      <c r="I12" s="188"/>
    </row>
    <row r="13" spans="1:9" x14ac:dyDescent="0.25">
      <c r="B13" s="185" t="s">
        <v>4</v>
      </c>
      <c r="C13" s="187">
        <f>SUM(Pellekoorne!C12,Gutsche!C12,Lapp!C12,Martschenko!C12,Soboth!C12,Stephan!C12)</f>
        <v>2.0562499999999999</v>
      </c>
      <c r="D13" s="187">
        <f>SUM(Pellekoorne!D12,Gutsche!D12,Lapp!D12,Martschenko!D12,Soboth!D12,Stephan!D12)</f>
        <v>0.13819444444444445</v>
      </c>
      <c r="E13" s="187">
        <f>SUM(Pellekoorne!E12,Gutsche!E12,Lapp!E12,Martschenko!E12,Soboth!E12,Stephan!E12)</f>
        <v>0.2013888888888889</v>
      </c>
      <c r="F13" s="187">
        <f>SUM(Pellekoorne!F12,Gutsche!F12,Lapp!F12,Martschenko!F12,Soboth!F12,Stephan!F12)</f>
        <v>0.35416666666666669</v>
      </c>
      <c r="G13" s="187">
        <f>SUM(Pellekoorne!G12,Gutsche!G12,Lapp!G12,Martschenko!G12,Soboth!G12,Stephan!G12)</f>
        <v>0.4548611111111111</v>
      </c>
      <c r="H13" s="187">
        <f>SUM(Pellekoorne!H12,Gutsche!H12,Lapp!H12,Martschenko!H12,Soboth!H12,Stephan!H12)</f>
        <v>0.41666666666666663</v>
      </c>
      <c r="I13" s="187">
        <f t="shared" ref="I13" si="3">SUM(C13:H14)</f>
        <v>3.6215277777777772</v>
      </c>
    </row>
    <row r="14" spans="1:9" x14ac:dyDescent="0.25">
      <c r="B14" s="186"/>
      <c r="C14" s="188"/>
      <c r="D14" s="188"/>
      <c r="E14" s="188"/>
      <c r="F14" s="188"/>
      <c r="G14" s="188"/>
      <c r="H14" s="188"/>
      <c r="I14" s="188"/>
    </row>
    <row r="15" spans="1:9" x14ac:dyDescent="0.25">
      <c r="B15" s="185" t="s">
        <v>5</v>
      </c>
      <c r="C15" s="187">
        <f>SUM(Pellekoorne!C14,Gutsche!C14,Lapp!C14,Martschenko!C14,Soboth!C14,Stephan!C14)</f>
        <v>1.4437500000000001</v>
      </c>
      <c r="D15" s="187">
        <f>SUM(Pellekoorne!D14,Gutsche!D14,Lapp!D14,Martschenko!D14,Soboth!D14,Stephan!D14)</f>
        <v>0.22430555555555554</v>
      </c>
      <c r="E15" s="187">
        <f>SUM(Pellekoorne!E14,Gutsche!E14,Lapp!E14,Martschenko!E14,Soboth!E14,Stephan!E14)</f>
        <v>8.3333333333333329E-2</v>
      </c>
      <c r="F15" s="187">
        <f>SUM(Pellekoorne!F14,Gutsche!F14,Lapp!F14,Martschenko!F14,Soboth!F14,Stephan!F14)</f>
        <v>0</v>
      </c>
      <c r="G15" s="187">
        <f>SUM(Pellekoorne!G14,Gutsche!G14,Lapp!G14,Martschenko!G14,Soboth!G14,Stephan!G14)</f>
        <v>0.64861111111111114</v>
      </c>
      <c r="H15" s="187">
        <f>SUM(Pellekoorne!H14,Gutsche!H14,Lapp!H14,Martschenko!H14,Soboth!H14,Stephan!H14)</f>
        <v>0.71527777777777768</v>
      </c>
      <c r="I15" s="187">
        <f t="shared" ref="I15" si="4">SUM(C15:H16)</f>
        <v>3.1152777777777776</v>
      </c>
    </row>
    <row r="16" spans="1:9" x14ac:dyDescent="0.25">
      <c r="B16" s="186"/>
      <c r="C16" s="188"/>
      <c r="D16" s="188"/>
      <c r="E16" s="188"/>
      <c r="F16" s="188"/>
      <c r="G16" s="188"/>
      <c r="H16" s="188"/>
      <c r="I16" s="188"/>
    </row>
    <row r="17" spans="2:9" x14ac:dyDescent="0.25">
      <c r="B17" s="185" t="s">
        <v>6</v>
      </c>
      <c r="C17" s="187">
        <f>SUM(Pellekoorne!C16,Gutsche!C16,Lapp!C16,Martschenko!C16,Soboth!C16,Stephan!C16)</f>
        <v>2.259722222222222</v>
      </c>
      <c r="D17" s="187">
        <f>SUM(Pellekoorne!D16,Gutsche!D16,Lapp!D16,Martschenko!D16,Soboth!D16,Stephan!D16)</f>
        <v>3.125E-2</v>
      </c>
      <c r="E17" s="187">
        <f>SUM(Pellekoorne!E16,Gutsche!E16,Lapp!E16,Martschenko!E16,Soboth!E16,Stephan!E16)</f>
        <v>0</v>
      </c>
      <c r="F17" s="187">
        <f>SUM(Pellekoorne!F16,Gutsche!F16,Lapp!F16,Martschenko!F16,Soboth!F16,Stephan!F16)</f>
        <v>0</v>
      </c>
      <c r="G17" s="187">
        <f>SUM(Pellekoorne!G16,Gutsche!G16,Lapp!G16,Martschenko!G16,Soboth!G16,Stephan!G16)</f>
        <v>1.2430555555555556</v>
      </c>
      <c r="H17" s="187">
        <f>SUM(Pellekoorne!H16,Gutsche!H16,Lapp!H16,Martschenko!H16,Soboth!H16,Stephan!H16)</f>
        <v>0.46527777777777785</v>
      </c>
      <c r="I17" s="187">
        <f t="shared" ref="I17" si="5">SUM(C17:H18)</f>
        <v>3.999305555555555</v>
      </c>
    </row>
    <row r="18" spans="2:9" x14ac:dyDescent="0.25">
      <c r="B18" s="186"/>
      <c r="C18" s="188"/>
      <c r="D18" s="188"/>
      <c r="E18" s="188"/>
      <c r="F18" s="188"/>
      <c r="G18" s="188"/>
      <c r="H18" s="188"/>
      <c r="I18" s="188"/>
    </row>
    <row r="19" spans="2:9" x14ac:dyDescent="0.25">
      <c r="B19" s="185" t="s">
        <v>28</v>
      </c>
      <c r="C19" s="187">
        <f>SUM(Pellekoorne!C18,Gutsche!C18,Lapp!C18,Martschenko!C18,Soboth!C18,Stephan!C18)</f>
        <v>1.8923611111111109</v>
      </c>
      <c r="D19" s="187">
        <f>SUM(Pellekoorne!D18,Gutsche!D18,Lapp!D18,Martschenko!D18,Soboth!D18,Stephan!D18)</f>
        <v>0.1701388888888889</v>
      </c>
      <c r="E19" s="187">
        <f>SUM(Pellekoorne!E18,Gutsche!E18,Lapp!E18,Martschenko!E18,Soboth!E18,Stephan!E18)</f>
        <v>0.2986111111111111</v>
      </c>
      <c r="F19" s="187">
        <f>SUM(Pellekoorne!F18,Gutsche!F18,Lapp!F18,Martschenko!F18,Soboth!F18,Stephan!F18)</f>
        <v>8.2638888888888887E-2</v>
      </c>
      <c r="G19" s="187">
        <f>SUM(Pellekoorne!G18,Gutsche!G18,Lapp!G18,Martschenko!G18,Soboth!G18,Stephan!G18)</f>
        <v>0.45138888888888884</v>
      </c>
      <c r="H19" s="187">
        <f>SUM(Pellekoorne!H18,Gutsche!H18,Lapp!H18,Martschenko!H18,Soboth!H18,Stephan!H18)</f>
        <v>1.1006944444444444</v>
      </c>
      <c r="I19" s="187">
        <f t="shared" ref="I19" si="6">SUM(C19:H20)</f>
        <v>3.9958333333333336</v>
      </c>
    </row>
    <row r="20" spans="2:9" x14ac:dyDescent="0.25">
      <c r="B20" s="186"/>
      <c r="C20" s="188"/>
      <c r="D20" s="188"/>
      <c r="E20" s="188"/>
      <c r="F20" s="188"/>
      <c r="G20" s="188"/>
      <c r="H20" s="188"/>
      <c r="I20" s="188"/>
    </row>
    <row r="21" spans="2:9" x14ac:dyDescent="0.25">
      <c r="B21" s="185" t="s">
        <v>29</v>
      </c>
      <c r="C21" s="187">
        <f>SUM(Pellekoorne!C20,Gutsche!C20,Lapp!C20,Martschenko!C20,Soboth!C20,Stephan!C20)</f>
        <v>1.90625</v>
      </c>
      <c r="D21" s="187">
        <f>SUM(Pellekoorne!D20,Gutsche!D20,Lapp!D20,Martschenko!D20,Soboth!D20,Stephan!D20)</f>
        <v>0.10694444444444444</v>
      </c>
      <c r="E21" s="187">
        <f>SUM(Pellekoorne!E20,Gutsche!E20,Lapp!E20,Martschenko!E20,Soboth!E20,Stephan!E20)</f>
        <v>0.15277777777777779</v>
      </c>
      <c r="F21" s="187">
        <f>SUM(Pellekoorne!F20,Gutsche!F20,Lapp!F20,Martschenko!F20,Soboth!F20,Stephan!F20)</f>
        <v>0</v>
      </c>
      <c r="G21" s="187">
        <f>SUM(Pellekoorne!G20,Gutsche!G20,Lapp!G20,Martschenko!G20,Soboth!G20,Stephan!G20)</f>
        <v>0.46736111111111112</v>
      </c>
      <c r="H21" s="187">
        <f>SUM(Pellekoorne!H20,Gutsche!H20,Lapp!H20,Martschenko!H20,Soboth!H20,Stephan!H20)</f>
        <v>0.52083333333333326</v>
      </c>
      <c r="I21" s="187">
        <f t="shared" ref="I21" si="7">SUM(C21:H22)</f>
        <v>3.1541666666666659</v>
      </c>
    </row>
    <row r="22" spans="2:9" x14ac:dyDescent="0.25">
      <c r="B22" s="186"/>
      <c r="C22" s="188"/>
      <c r="D22" s="188"/>
      <c r="E22" s="188"/>
      <c r="F22" s="188"/>
      <c r="G22" s="188"/>
      <c r="H22" s="188"/>
      <c r="I22" s="188"/>
    </row>
    <row r="23" spans="2:9" x14ac:dyDescent="0.25">
      <c r="B23" s="185" t="s">
        <v>30</v>
      </c>
      <c r="C23" s="187">
        <f>SUM(Pellekoorne!C22,Gutsche!C22,Lapp!C22,Martschenko!C22,Soboth!C22,Stephan!C22)</f>
        <v>0</v>
      </c>
      <c r="D23" s="187">
        <f>SUM(Pellekoorne!D22,Gutsche!D22,Lapp!D22,Martschenko!D22,Soboth!D22,Stephan!D22)</f>
        <v>0</v>
      </c>
      <c r="E23" s="187">
        <f>SUM(Pellekoorne!E22,Gutsche!E22,Lapp!E22,Martschenko!E22,Soboth!E22,Stephan!E22)</f>
        <v>0</v>
      </c>
      <c r="F23" s="187">
        <f>SUM(Pellekoorne!F22,Gutsche!F22,Lapp!F22,Martschenko!F22,Soboth!F22,Stephan!F22)</f>
        <v>0</v>
      </c>
      <c r="G23" s="187">
        <f>SUM(Pellekoorne!G22,Gutsche!G22,Lapp!G22,Martschenko!G22,Soboth!G22,Stephan!G22)</f>
        <v>0</v>
      </c>
      <c r="H23" s="187">
        <f>SUM(Pellekoorne!H22,Gutsche!H22,Lapp!H22,Martschenko!H22,Soboth!H22,Stephan!H22)</f>
        <v>0.1388888888888889</v>
      </c>
      <c r="I23" s="187">
        <f t="shared" ref="I23" si="8">SUM(C23:H24)</f>
        <v>0.1388888888888889</v>
      </c>
    </row>
    <row r="24" spans="2:9" x14ac:dyDescent="0.25">
      <c r="B24" s="186"/>
      <c r="C24" s="188"/>
      <c r="D24" s="188"/>
      <c r="E24" s="188"/>
      <c r="F24" s="188"/>
      <c r="G24" s="188"/>
      <c r="H24" s="188"/>
      <c r="I24" s="188"/>
    </row>
    <row r="25" spans="2:9" x14ac:dyDescent="0.25">
      <c r="B25" s="185" t="s">
        <v>31</v>
      </c>
      <c r="C25" s="187">
        <f>SUM(Pellekoorne!C24,Gutsche!C24,Lapp!C24,Martschenko!C24,Soboth!C24,Stephan!C24)</f>
        <v>0</v>
      </c>
      <c r="D25" s="187">
        <f>SUM(Pellekoorne!D24,Gutsche!D24,Lapp!D24,Martschenko!D24,Soboth!D24,Stephan!D24)</f>
        <v>0</v>
      </c>
      <c r="E25" s="187">
        <f>SUM(Pellekoorne!E24,Gutsche!E24,Lapp!E24,Martschenko!E24,Soboth!E24,Stephan!E24)</f>
        <v>0</v>
      </c>
      <c r="F25" s="187">
        <f>SUM(Pellekoorne!F24,Gutsche!F24,Lapp!F24,Martschenko!F24,Soboth!F24,Stephan!F24)</f>
        <v>0</v>
      </c>
      <c r="G25" s="187">
        <f>SUM(Pellekoorne!G24,Gutsche!G24,Lapp!G24,Martschenko!G24,Soboth!G24,Stephan!G24)</f>
        <v>0</v>
      </c>
      <c r="H25" s="187">
        <f>SUM(Pellekoorne!H24,Gutsche!H24,Lapp!H24,Martschenko!H24,Soboth!H24,Stephan!H24)</f>
        <v>0.1736111111111111</v>
      </c>
      <c r="I25" s="187">
        <f t="shared" ref="I25" si="9">SUM(C25:H26)</f>
        <v>0.1736111111111111</v>
      </c>
    </row>
    <row r="26" spans="2:9" x14ac:dyDescent="0.25">
      <c r="B26" s="186"/>
      <c r="C26" s="188"/>
      <c r="D26" s="188"/>
      <c r="E26" s="188"/>
      <c r="F26" s="188"/>
      <c r="G26" s="188"/>
      <c r="H26" s="188"/>
      <c r="I26" s="188"/>
    </row>
    <row r="27" spans="2:9" x14ac:dyDescent="0.25">
      <c r="B27" s="185" t="s">
        <v>32</v>
      </c>
      <c r="C27" s="187">
        <f>SUM(Pellekoorne!C26,Gutsche!C26,Lapp!C26,Martschenko!C26,Soboth!C26,Stephan!C26)</f>
        <v>0</v>
      </c>
      <c r="D27" s="187">
        <f>SUM(Pellekoorne!D26,Gutsche!D26,Lapp!D26,Martschenko!D26,Soboth!D26,Stephan!D26)</f>
        <v>0</v>
      </c>
      <c r="E27" s="187">
        <f>SUM(Pellekoorne!E26,Gutsche!E26,Lapp!E26,Martschenko!E26,Soboth!E26,Stephan!E26)</f>
        <v>0</v>
      </c>
      <c r="F27" s="187">
        <f>SUM(Pellekoorne!F26,Gutsche!F26,Lapp!F26,Martschenko!F26,Soboth!F26,Stephan!F26)</f>
        <v>0</v>
      </c>
      <c r="G27" s="187">
        <f>SUM(Pellekoorne!G26,Gutsche!G26,Lapp!G26,Martschenko!G26,Soboth!G26,Stephan!G26)</f>
        <v>0</v>
      </c>
      <c r="H27" s="187">
        <f>SUM(Pellekoorne!H26,Gutsche!H26,Lapp!H26,Martschenko!H26,Soboth!H26,Stephan!H26)</f>
        <v>0.1736111111111111</v>
      </c>
      <c r="I27" s="187">
        <f t="shared" ref="I27" si="10">SUM(C27:H28)</f>
        <v>0.1736111111111111</v>
      </c>
    </row>
    <row r="28" spans="2:9" x14ac:dyDescent="0.25">
      <c r="B28" s="186"/>
      <c r="C28" s="188"/>
      <c r="D28" s="188"/>
      <c r="E28" s="188"/>
      <c r="F28" s="188"/>
      <c r="G28" s="188"/>
      <c r="H28" s="188"/>
      <c r="I28" s="188"/>
    </row>
    <row r="29" spans="2:9" x14ac:dyDescent="0.25">
      <c r="B29" s="185" t="s">
        <v>33</v>
      </c>
      <c r="C29" s="187">
        <f>SUM(Pellekoorne!C28,Gutsche!C28,Lapp!C28,Martschenko!C28,Soboth!C28,Stephan!C28)</f>
        <v>0</v>
      </c>
      <c r="D29" s="187">
        <f>SUM(Pellekoorne!D28,Gutsche!D28,Lapp!D28,Martschenko!D28,Soboth!D28,Stephan!D28)</f>
        <v>0</v>
      </c>
      <c r="E29" s="187">
        <f>SUM(Pellekoorne!E28,Gutsche!E28,Lapp!E28,Martschenko!E28,Soboth!E28,Stephan!E28)</f>
        <v>0</v>
      </c>
      <c r="F29" s="187">
        <f>SUM(Pellekoorne!F28,Gutsche!F28,Lapp!F28,Martschenko!F28,Soboth!F28,Stephan!F28)</f>
        <v>0</v>
      </c>
      <c r="G29" s="187">
        <f>SUM(Pellekoorne!G28,Gutsche!G28,Lapp!G28,Martschenko!G28,Soboth!G28,Stephan!G28)</f>
        <v>0</v>
      </c>
      <c r="H29" s="187">
        <f>SUM(Pellekoorne!H28,Gutsche!H28,Lapp!H28,Martschenko!H28,Soboth!H28,Stephan!H28)</f>
        <v>0.1736111111111111</v>
      </c>
      <c r="I29" s="187">
        <f t="shared" ref="I29" si="11">SUM(C29:H30)</f>
        <v>0.1736111111111111</v>
      </c>
    </row>
    <row r="30" spans="2:9" x14ac:dyDescent="0.25">
      <c r="B30" s="186"/>
      <c r="C30" s="188"/>
      <c r="D30" s="188"/>
      <c r="E30" s="188"/>
      <c r="F30" s="188"/>
      <c r="G30" s="188"/>
      <c r="H30" s="188"/>
      <c r="I30" s="188"/>
    </row>
    <row r="31" spans="2:9" x14ac:dyDescent="0.25">
      <c r="B31" s="185" t="s">
        <v>34</v>
      </c>
      <c r="C31" s="187">
        <f>SUM(Pellekoorne!C30,Gutsche!C30,Lapp!C30,Martschenko!C30,Soboth!C30,Stephan!C30)</f>
        <v>0</v>
      </c>
      <c r="D31" s="187">
        <f>SUM(Pellekoorne!D30,Gutsche!D30,Lapp!D30,Martschenko!D30,Soboth!D30,Stephan!D30)</f>
        <v>0</v>
      </c>
      <c r="E31" s="187">
        <f>SUM(Pellekoorne!E30,Gutsche!E30,Lapp!E30,Martschenko!E30,Soboth!E30,Stephan!E30)</f>
        <v>0</v>
      </c>
      <c r="F31" s="187">
        <f>SUM(Pellekoorne!F30,Gutsche!F30,Lapp!F30,Martschenko!F30,Soboth!F30,Stephan!F30)</f>
        <v>0</v>
      </c>
      <c r="G31" s="187">
        <f>SUM(Pellekoorne!G30,Gutsche!G30,Lapp!G30,Martschenko!G30,Soboth!G30,Stephan!G30)</f>
        <v>0</v>
      </c>
      <c r="H31" s="187">
        <f>SUM(Pellekoorne!H30,Gutsche!H30,Lapp!H30,Martschenko!H30,Soboth!H30,Stephan!H30)</f>
        <v>0.1736111111111111</v>
      </c>
      <c r="I31" s="187">
        <f t="shared" ref="I31" si="12">SUM(C31:H32)</f>
        <v>0.1736111111111111</v>
      </c>
    </row>
    <row r="32" spans="2:9" x14ac:dyDescent="0.25">
      <c r="B32" s="186"/>
      <c r="C32" s="188"/>
      <c r="D32" s="188"/>
      <c r="E32" s="188"/>
      <c r="F32" s="188"/>
      <c r="G32" s="188"/>
      <c r="H32" s="188"/>
      <c r="I32" s="188"/>
    </row>
    <row r="33" spans="2:9" x14ac:dyDescent="0.25">
      <c r="B33" s="185" t="s">
        <v>392</v>
      </c>
      <c r="C33" s="187">
        <f>SUM(Pellekoorne!C32,Gutsche!C32,Lapp!C32,Martschenko!C32,Stephan!C32)</f>
        <v>0</v>
      </c>
      <c r="D33" s="187">
        <f>SUM(Pellekoorne!D32,Gutsche!D32,Lapp!D32,Martschenko!D32,Soboth!D32,Stephan!D32)</f>
        <v>0</v>
      </c>
      <c r="E33" s="187">
        <f>SUM(Pellekoorne!E32,Gutsche!E32,Lapp!E32,Martschenko!E32,Soboth!E32,Stephan!E32)</f>
        <v>0</v>
      </c>
      <c r="F33" s="187">
        <f>SUM(Pellekoorne!F32,Gutsche!F32,Lapp!F32,Martschenko!F32,Soboth!F32,Stephan!F32)</f>
        <v>0</v>
      </c>
      <c r="G33" s="187">
        <f>SUM(Pellekoorne!G32,Gutsche!G32,Lapp!G32,Martschenko!G32,Soboth!G32,Stephan!G32)</f>
        <v>0</v>
      </c>
      <c r="H33" s="187">
        <f>SUM(Pellekoorne!H32,Gutsche!H32,Lapp!H32,Martschenko!H32,Soboth!H32,Stephan!H32)</f>
        <v>0.1736111111111111</v>
      </c>
      <c r="I33" s="187">
        <f t="shared" ref="I33" si="13">SUM(C33:H34)</f>
        <v>0.1736111111111111</v>
      </c>
    </row>
    <row r="34" spans="2:9" x14ac:dyDescent="0.25">
      <c r="B34" s="186"/>
      <c r="C34" s="188"/>
      <c r="D34" s="188"/>
      <c r="E34" s="188"/>
      <c r="F34" s="188"/>
      <c r="G34" s="188"/>
      <c r="H34" s="188"/>
      <c r="I34" s="188"/>
    </row>
    <row r="35" spans="2:9" x14ac:dyDescent="0.25">
      <c r="B35" s="185" t="s">
        <v>393</v>
      </c>
      <c r="C35" s="187">
        <f>SUM(Pellekoorne!C34,Gutsche!C34,Lapp!C34,Martschenko!C34,Soboth!C34,Stephan!C34)</f>
        <v>0</v>
      </c>
      <c r="D35" s="187">
        <f>SUM(Pellekoorne!D34,Gutsche!D34,Lapp!D34,Martschenko!D34,Soboth!D34,Stephan!D34)</f>
        <v>0</v>
      </c>
      <c r="E35" s="187">
        <f>SUM(Pellekoorne!E34,Gutsche!E34,Lapp!E34,Martschenko!E34,Soboth!E34,Stephan!E34)</f>
        <v>0</v>
      </c>
      <c r="F35" s="187">
        <f>SUM(Pellekoorne!F34,Gutsche!F34,Lapp!F34,Martschenko!F34,Soboth!F34,Stephan!F34)</f>
        <v>0</v>
      </c>
      <c r="G35" s="187">
        <f>SUM(Pellekoorne!G34,Gutsche!G34,Lapp!G34,Martschenko!G34,Soboth!G34,Stephan!G34)</f>
        <v>0</v>
      </c>
      <c r="H35" s="187">
        <f>SUM(Pellekoorne!H34,Gutsche!H34,Lapp!H34,Martschenko!H34,Soboth!H34,Stephan!H34)</f>
        <v>0.1736111111111111</v>
      </c>
      <c r="I35" s="187">
        <f t="shared" ref="I35" si="14">SUM(C35:H36)</f>
        <v>0.1736111111111111</v>
      </c>
    </row>
    <row r="36" spans="2:9" x14ac:dyDescent="0.25">
      <c r="B36" s="186"/>
      <c r="C36" s="188"/>
      <c r="D36" s="188"/>
      <c r="E36" s="188"/>
      <c r="F36" s="188"/>
      <c r="G36" s="188"/>
      <c r="H36" s="188"/>
      <c r="I36" s="188"/>
    </row>
    <row r="37" spans="2:9" x14ac:dyDescent="0.25">
      <c r="B37" s="185" t="s">
        <v>394</v>
      </c>
      <c r="C37" s="187">
        <f>SUM(Pellekoorne!C36,Gutsche!C36,Lapp!C36,Martschenko!C36,Soboth!C36,Stephan!C36)</f>
        <v>0</v>
      </c>
      <c r="D37" s="187">
        <f>SUM(Pellekoorne!D36,Gutsche!D36,Lapp!D36,Martschenko!D36,Soboth!D36,Stephan!D36)</f>
        <v>0</v>
      </c>
      <c r="E37" s="187">
        <f>SUM(Pellekoorne!E36,Gutsche!E36,Lapp!E36,Martschenko!E36,Soboth!E36,Stephan!E36)</f>
        <v>0</v>
      </c>
      <c r="F37" s="187">
        <f>SUM(Pellekoorne!F36,Gutsche!F36,Lapp!F36,Martschenko!F36,Soboth!F36,Stephan!F36)</f>
        <v>0</v>
      </c>
      <c r="G37" s="187">
        <f>SUM(Pellekoorne!G36,Gutsche!G36,Lapp!G36,Martschenko!G36,Soboth!G36,Stephan!G36)</f>
        <v>0</v>
      </c>
      <c r="H37" s="187">
        <f>SUM(Pellekoorne!H36,Gutsche!H36,Lapp!H36,Martschenko!H36,Soboth!H36,Stephan!H36)</f>
        <v>0.1736111111111111</v>
      </c>
      <c r="I37" s="187">
        <f t="shared" ref="I37" si="15">SUM(C37:H38)</f>
        <v>0.1736111111111111</v>
      </c>
    </row>
    <row r="38" spans="2:9" x14ac:dyDescent="0.25">
      <c r="B38" s="186"/>
      <c r="C38" s="188"/>
      <c r="D38" s="188"/>
      <c r="E38" s="188"/>
      <c r="F38" s="188"/>
      <c r="G38" s="188"/>
      <c r="H38" s="188"/>
      <c r="I38" s="188"/>
    </row>
  </sheetData>
  <mergeCells count="145">
    <mergeCell ref="I21:I22"/>
    <mergeCell ref="I23:I24"/>
    <mergeCell ref="I25:I26"/>
    <mergeCell ref="I27:I28"/>
    <mergeCell ref="I29:I30"/>
    <mergeCell ref="I31:I32"/>
    <mergeCell ref="I3:I4"/>
    <mergeCell ref="I5:I6"/>
    <mergeCell ref="I7:I8"/>
    <mergeCell ref="I9:I10"/>
    <mergeCell ref="I11:I12"/>
    <mergeCell ref="I13:I14"/>
    <mergeCell ref="I15:I16"/>
    <mergeCell ref="I17:I18"/>
    <mergeCell ref="I19:I20"/>
    <mergeCell ref="H31:H32"/>
    <mergeCell ref="B31:B32"/>
    <mergeCell ref="C31:C32"/>
    <mergeCell ref="D31:D32"/>
    <mergeCell ref="E31:E32"/>
    <mergeCell ref="F31:F32"/>
    <mergeCell ref="G31:G32"/>
    <mergeCell ref="H27:H28"/>
    <mergeCell ref="B29:B30"/>
    <mergeCell ref="C29:C30"/>
    <mergeCell ref="D29:D30"/>
    <mergeCell ref="E29:E30"/>
    <mergeCell ref="F29:F30"/>
    <mergeCell ref="G29:G30"/>
    <mergeCell ref="H29:H30"/>
    <mergeCell ref="B27:B28"/>
    <mergeCell ref="C27:C28"/>
    <mergeCell ref="D27:D28"/>
    <mergeCell ref="E27:E28"/>
    <mergeCell ref="F27:F28"/>
    <mergeCell ref="G27:G28"/>
    <mergeCell ref="H23:H24"/>
    <mergeCell ref="B25:B26"/>
    <mergeCell ref="C25:C26"/>
    <mergeCell ref="D25:D26"/>
    <mergeCell ref="E25:E26"/>
    <mergeCell ref="F25:F26"/>
    <mergeCell ref="G25:G26"/>
    <mergeCell ref="H25:H26"/>
    <mergeCell ref="B23:B24"/>
    <mergeCell ref="C23:C24"/>
    <mergeCell ref="D23:D24"/>
    <mergeCell ref="E23:E24"/>
    <mergeCell ref="F23:F24"/>
    <mergeCell ref="G23:G24"/>
    <mergeCell ref="H19:H20"/>
    <mergeCell ref="B21:B22"/>
    <mergeCell ref="C21:C22"/>
    <mergeCell ref="D21:D22"/>
    <mergeCell ref="E21:E22"/>
    <mergeCell ref="F21:F22"/>
    <mergeCell ref="G21:G22"/>
    <mergeCell ref="H21:H22"/>
    <mergeCell ref="B19:B20"/>
    <mergeCell ref="C19:C20"/>
    <mergeCell ref="D19:D20"/>
    <mergeCell ref="E19:E20"/>
    <mergeCell ref="F19:F20"/>
    <mergeCell ref="G19:G20"/>
    <mergeCell ref="H15:H16"/>
    <mergeCell ref="B17:B18"/>
    <mergeCell ref="C17:C18"/>
    <mergeCell ref="D17:D18"/>
    <mergeCell ref="E17:E18"/>
    <mergeCell ref="F17:F18"/>
    <mergeCell ref="G17:G18"/>
    <mergeCell ref="H17:H18"/>
    <mergeCell ref="B15:B16"/>
    <mergeCell ref="C15:C16"/>
    <mergeCell ref="D15:D16"/>
    <mergeCell ref="E15:E16"/>
    <mergeCell ref="F15:F16"/>
    <mergeCell ref="G15:G16"/>
    <mergeCell ref="H11:H12"/>
    <mergeCell ref="B13:B14"/>
    <mergeCell ref="C13:C14"/>
    <mergeCell ref="D13:D14"/>
    <mergeCell ref="E13:E14"/>
    <mergeCell ref="F13:F14"/>
    <mergeCell ref="G13:G14"/>
    <mergeCell ref="H13:H14"/>
    <mergeCell ref="B11:B12"/>
    <mergeCell ref="C11:C12"/>
    <mergeCell ref="D11:D12"/>
    <mergeCell ref="E11:E12"/>
    <mergeCell ref="F11:F12"/>
    <mergeCell ref="G11:G12"/>
    <mergeCell ref="H7:H8"/>
    <mergeCell ref="B9:B10"/>
    <mergeCell ref="C9:C10"/>
    <mergeCell ref="D9:D10"/>
    <mergeCell ref="E9:E10"/>
    <mergeCell ref="F9:F10"/>
    <mergeCell ref="G9:G10"/>
    <mergeCell ref="H9:H10"/>
    <mergeCell ref="B7:B8"/>
    <mergeCell ref="C7:C8"/>
    <mergeCell ref="D7:D8"/>
    <mergeCell ref="E7:E8"/>
    <mergeCell ref="F7:F8"/>
    <mergeCell ref="G7:G8"/>
    <mergeCell ref="A1:C1"/>
    <mergeCell ref="B3:B4"/>
    <mergeCell ref="C3:C4"/>
    <mergeCell ref="D3:D4"/>
    <mergeCell ref="E3:E4"/>
    <mergeCell ref="F3:F4"/>
    <mergeCell ref="G3:G4"/>
    <mergeCell ref="H3:H4"/>
    <mergeCell ref="B5:B6"/>
    <mergeCell ref="C5:C6"/>
    <mergeCell ref="D5:D6"/>
    <mergeCell ref="E5:E6"/>
    <mergeCell ref="F5:F6"/>
    <mergeCell ref="G5:G6"/>
    <mergeCell ref="H5:H6"/>
    <mergeCell ref="B37:B38"/>
    <mergeCell ref="C37:C38"/>
    <mergeCell ref="D37:D38"/>
    <mergeCell ref="E37:E38"/>
    <mergeCell ref="F37:F38"/>
    <mergeCell ref="G37:G38"/>
    <mergeCell ref="H37:H38"/>
    <mergeCell ref="I37:I38"/>
    <mergeCell ref="B33:B34"/>
    <mergeCell ref="C33:C34"/>
    <mergeCell ref="D33:D34"/>
    <mergeCell ref="E33:E34"/>
    <mergeCell ref="F33:F34"/>
    <mergeCell ref="G33:G34"/>
    <mergeCell ref="H33:H34"/>
    <mergeCell ref="I33:I34"/>
    <mergeCell ref="B35:B36"/>
    <mergeCell ref="C35:C36"/>
    <mergeCell ref="D35:D36"/>
    <mergeCell ref="E35:E36"/>
    <mergeCell ref="F35:F36"/>
    <mergeCell ref="G35:G36"/>
    <mergeCell ref="H35:H36"/>
    <mergeCell ref="I35:I36"/>
  </mergeCells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4E6C-B132-4B46-BEC4-D3AD40D07B25}">
  <sheetPr codeName="Tabelle10"/>
  <dimension ref="B4:T50"/>
  <sheetViews>
    <sheetView workbookViewId="0">
      <selection activeCell="B10" sqref="B10"/>
    </sheetView>
  </sheetViews>
  <sheetFormatPr baseColWidth="10" defaultRowHeight="15" x14ac:dyDescent="0.25"/>
  <cols>
    <col min="2" max="2" width="50.7109375" customWidth="1"/>
    <col min="4" max="4" width="13.7109375" customWidth="1"/>
    <col min="5" max="5" width="50.7109375" customWidth="1"/>
    <col min="7" max="7" width="13.7109375" customWidth="1"/>
    <col min="8" max="8" width="50.7109375" customWidth="1"/>
    <col min="10" max="10" width="13.7109375" customWidth="1"/>
    <col min="11" max="11" width="50.7109375" customWidth="1"/>
  </cols>
  <sheetData>
    <row r="4" spans="2:20" ht="15.75" thickBot="1" x14ac:dyDescent="0.3"/>
    <row r="5" spans="2:20" x14ac:dyDescent="0.25">
      <c r="B5" s="89" t="s">
        <v>29</v>
      </c>
      <c r="C5" s="90"/>
      <c r="D5" s="91"/>
      <c r="E5" s="89" t="s">
        <v>28</v>
      </c>
      <c r="F5" s="90"/>
      <c r="G5" s="91"/>
      <c r="H5" s="89" t="s">
        <v>6</v>
      </c>
      <c r="I5" s="90"/>
      <c r="J5" s="91"/>
      <c r="K5" s="89" t="s">
        <v>5</v>
      </c>
      <c r="L5" s="90"/>
      <c r="M5" s="91"/>
      <c r="N5" s="89" t="s">
        <v>4</v>
      </c>
      <c r="O5" s="90"/>
      <c r="P5" s="91"/>
      <c r="Q5" s="89" t="s">
        <v>3</v>
      </c>
      <c r="R5" s="90"/>
      <c r="S5" s="91"/>
      <c r="T5" s="89" t="s">
        <v>2</v>
      </c>
    </row>
    <row r="6" spans="2:20" x14ac:dyDescent="0.25">
      <c r="B6" s="67" t="s">
        <v>59</v>
      </c>
      <c r="C6" s="48" t="s">
        <v>60</v>
      </c>
      <c r="D6" s="92" t="s">
        <v>85</v>
      </c>
      <c r="E6" s="67" t="s">
        <v>59</v>
      </c>
      <c r="F6" s="48" t="s">
        <v>60</v>
      </c>
      <c r="G6" s="92" t="s">
        <v>85</v>
      </c>
      <c r="H6" s="67" t="s">
        <v>59</v>
      </c>
      <c r="I6" s="48" t="s">
        <v>60</v>
      </c>
      <c r="J6" s="92" t="s">
        <v>85</v>
      </c>
      <c r="K6" s="67" t="s">
        <v>59</v>
      </c>
      <c r="L6" s="48" t="s">
        <v>60</v>
      </c>
      <c r="M6" s="92" t="s">
        <v>85</v>
      </c>
      <c r="N6" s="67" t="s">
        <v>59</v>
      </c>
      <c r="O6" s="48" t="s">
        <v>60</v>
      </c>
      <c r="P6" s="92" t="s">
        <v>85</v>
      </c>
      <c r="Q6" s="67" t="s">
        <v>59</v>
      </c>
      <c r="R6" s="48" t="s">
        <v>60</v>
      </c>
      <c r="S6" s="92" t="s">
        <v>85</v>
      </c>
      <c r="T6" s="67" t="s">
        <v>59</v>
      </c>
    </row>
    <row r="7" spans="2:20" x14ac:dyDescent="0.25">
      <c r="B7" t="s">
        <v>355</v>
      </c>
      <c r="C7" s="81">
        <v>2.7777777777777776E-2</v>
      </c>
      <c r="D7" t="s">
        <v>86</v>
      </c>
      <c r="E7" t="s">
        <v>311</v>
      </c>
      <c r="F7" s="81">
        <v>3.4722222222222224E-2</v>
      </c>
      <c r="G7" t="s">
        <v>86</v>
      </c>
      <c r="H7" t="s">
        <v>283</v>
      </c>
      <c r="I7" s="81">
        <v>1.1805555555555555E-2</v>
      </c>
      <c r="J7" t="s">
        <v>103</v>
      </c>
      <c r="K7" t="s">
        <v>259</v>
      </c>
      <c r="L7" s="81">
        <v>2.0833333333333332E-2</v>
      </c>
      <c r="M7" t="s">
        <v>86</v>
      </c>
      <c r="N7" t="s">
        <v>235</v>
      </c>
      <c r="O7" s="81">
        <v>8.4027777777777771E-2</v>
      </c>
      <c r="P7" t="s">
        <v>98</v>
      </c>
      <c r="Q7" s="88" t="s">
        <v>198</v>
      </c>
      <c r="R7" s="85">
        <v>0.13194444444444445</v>
      </c>
      <c r="S7" s="2" t="s">
        <v>86</v>
      </c>
      <c r="T7" s="88" t="s">
        <v>139</v>
      </c>
    </row>
    <row r="8" spans="2:20" x14ac:dyDescent="0.25">
      <c r="B8" t="s">
        <v>356</v>
      </c>
      <c r="C8" s="81">
        <v>2.0833333333333332E-2</v>
      </c>
      <c r="D8" t="s">
        <v>86</v>
      </c>
      <c r="E8" t="s">
        <v>319</v>
      </c>
      <c r="F8" s="81">
        <v>0.21180555555555555</v>
      </c>
      <c r="G8" t="s">
        <v>86</v>
      </c>
      <c r="H8" t="s">
        <v>283</v>
      </c>
      <c r="I8" s="81">
        <v>8.819444444444445E-2</v>
      </c>
      <c r="J8" t="s">
        <v>98</v>
      </c>
      <c r="K8" t="s">
        <v>258</v>
      </c>
      <c r="L8" s="81">
        <v>8.3333333333333329E-2</v>
      </c>
      <c r="M8" t="s">
        <v>103</v>
      </c>
      <c r="N8" t="s">
        <v>92</v>
      </c>
      <c r="O8" s="81">
        <v>4.1666666666666664E-2</v>
      </c>
      <c r="P8" t="s">
        <v>86</v>
      </c>
      <c r="Q8" s="88" t="s">
        <v>199</v>
      </c>
      <c r="R8" s="85">
        <v>9.0277777777777776E-2</v>
      </c>
      <c r="S8" s="2" t="s">
        <v>86</v>
      </c>
      <c r="T8" s="93" t="s">
        <v>140</v>
      </c>
    </row>
    <row r="9" spans="2:20" x14ac:dyDescent="0.25">
      <c r="B9" t="s">
        <v>357</v>
      </c>
      <c r="C9" s="81">
        <v>2.0833333333333332E-2</v>
      </c>
      <c r="D9" t="s">
        <v>86</v>
      </c>
      <c r="E9" t="s">
        <v>321</v>
      </c>
      <c r="F9" s="81">
        <v>5.5555555555555552E-2</v>
      </c>
      <c r="G9" t="s">
        <v>98</v>
      </c>
      <c r="H9" t="s">
        <v>291</v>
      </c>
      <c r="I9" s="81">
        <v>4.5138888888888888E-2</v>
      </c>
      <c r="J9" t="s">
        <v>103</v>
      </c>
      <c r="K9" t="s">
        <v>271</v>
      </c>
      <c r="L9" s="81">
        <v>0.17986111111111111</v>
      </c>
      <c r="M9" t="s">
        <v>103</v>
      </c>
      <c r="N9" t="s">
        <v>236</v>
      </c>
      <c r="O9" s="81">
        <v>2.7777777777777776E-2</v>
      </c>
      <c r="P9" t="s">
        <v>100</v>
      </c>
      <c r="Q9" s="88" t="s">
        <v>200</v>
      </c>
      <c r="R9" s="85">
        <v>0.17361111111111113</v>
      </c>
      <c r="S9" s="2" t="s">
        <v>86</v>
      </c>
      <c r="T9" s="94" t="s">
        <v>141</v>
      </c>
    </row>
    <row r="10" spans="2:20" x14ac:dyDescent="0.25">
      <c r="B10" t="s">
        <v>359</v>
      </c>
      <c r="C10" s="81">
        <v>6.9444444444444434E-2</v>
      </c>
      <c r="D10" t="s">
        <v>100</v>
      </c>
      <c r="E10" t="s">
        <v>329</v>
      </c>
      <c r="F10" s="81">
        <v>5.2083333333333336E-2</v>
      </c>
      <c r="G10" t="s">
        <v>100</v>
      </c>
      <c r="H10" t="s">
        <v>292</v>
      </c>
      <c r="I10" s="81">
        <v>0.16666666666666666</v>
      </c>
      <c r="J10" t="s">
        <v>103</v>
      </c>
      <c r="K10" t="s">
        <v>271</v>
      </c>
      <c r="L10" s="81">
        <v>5.2083333333333336E-2</v>
      </c>
      <c r="M10" t="s">
        <v>98</v>
      </c>
      <c r="N10" t="s">
        <v>237</v>
      </c>
      <c r="O10" s="81">
        <v>0.10416666666666667</v>
      </c>
      <c r="P10" t="s">
        <v>100</v>
      </c>
      <c r="Q10" s="88" t="s">
        <v>201</v>
      </c>
      <c r="R10" s="85">
        <v>2.0833333333333332E-2</v>
      </c>
      <c r="S10" s="2" t="s">
        <v>86</v>
      </c>
      <c r="T10" s="93" t="s">
        <v>142</v>
      </c>
    </row>
    <row r="11" spans="2:20" x14ac:dyDescent="0.25">
      <c r="B11" t="s">
        <v>353</v>
      </c>
      <c r="C11" s="81">
        <v>0.11041666666666666</v>
      </c>
      <c r="D11" t="s">
        <v>103</v>
      </c>
      <c r="E11" t="s">
        <v>314</v>
      </c>
      <c r="F11" s="81">
        <v>9.1666666666666674E-2</v>
      </c>
      <c r="G11" t="s">
        <v>103</v>
      </c>
      <c r="H11" t="s">
        <v>290</v>
      </c>
      <c r="I11" s="81">
        <v>6.6666666666666666E-2</v>
      </c>
      <c r="J11" t="s">
        <v>98</v>
      </c>
      <c r="K11" t="s">
        <v>272</v>
      </c>
      <c r="L11" s="81">
        <v>8.3333333333333329E-2</v>
      </c>
      <c r="M11" t="s">
        <v>100</v>
      </c>
      <c r="N11" t="s">
        <v>239</v>
      </c>
      <c r="O11" s="81">
        <v>0.10416666666666667</v>
      </c>
      <c r="P11" t="s">
        <v>100</v>
      </c>
      <c r="Q11" s="88" t="s">
        <v>202</v>
      </c>
      <c r="R11" s="85">
        <v>6.25E-2</v>
      </c>
      <c r="S11" s="2" t="s">
        <v>86</v>
      </c>
      <c r="T11" s="93" t="s">
        <v>143</v>
      </c>
    </row>
    <row r="12" spans="2:20" x14ac:dyDescent="0.25">
      <c r="B12" t="s">
        <v>360</v>
      </c>
      <c r="C12" s="81">
        <v>0.13541666666666666</v>
      </c>
      <c r="D12" t="s">
        <v>100</v>
      </c>
      <c r="E12" t="s">
        <v>325</v>
      </c>
      <c r="F12" s="81">
        <v>8.2638888888888887E-2</v>
      </c>
      <c r="G12" t="s">
        <v>98</v>
      </c>
      <c r="H12" t="s">
        <v>284</v>
      </c>
      <c r="I12" s="81">
        <v>0.1875</v>
      </c>
      <c r="J12" t="s">
        <v>100</v>
      </c>
      <c r="K12" t="s">
        <v>273</v>
      </c>
      <c r="L12" s="81">
        <v>4.1666666666666664E-2</v>
      </c>
      <c r="M12" t="s">
        <v>100</v>
      </c>
      <c r="N12" t="s">
        <v>240</v>
      </c>
      <c r="O12" s="81">
        <v>2.7777777777777776E-2</v>
      </c>
      <c r="P12" t="s">
        <v>100</v>
      </c>
      <c r="Q12" s="88" t="s">
        <v>203</v>
      </c>
      <c r="R12" s="85">
        <v>2.7777777777777776E-2</v>
      </c>
      <c r="S12" s="2" t="s">
        <v>86</v>
      </c>
      <c r="T12" s="93" t="s">
        <v>144</v>
      </c>
    </row>
    <row r="13" spans="2:20" x14ac:dyDescent="0.25">
      <c r="B13" t="s">
        <v>361</v>
      </c>
      <c r="C13" s="81">
        <v>6.25E-2</v>
      </c>
      <c r="D13" t="s">
        <v>100</v>
      </c>
      <c r="E13" t="s">
        <v>326</v>
      </c>
      <c r="F13" s="81">
        <v>4.5138888888888888E-2</v>
      </c>
      <c r="G13" t="s">
        <v>103</v>
      </c>
      <c r="H13" t="s">
        <v>293</v>
      </c>
      <c r="I13" s="81">
        <v>2.4305555555555556E-2</v>
      </c>
      <c r="J13" t="s">
        <v>103</v>
      </c>
      <c r="K13" t="s">
        <v>274</v>
      </c>
      <c r="L13" s="81">
        <v>4.1666666666666664E-2</v>
      </c>
      <c r="M13" t="s">
        <v>100</v>
      </c>
      <c r="N13" t="s">
        <v>241</v>
      </c>
      <c r="O13" s="81">
        <v>0.10416666666666667</v>
      </c>
      <c r="P13" t="s">
        <v>100</v>
      </c>
      <c r="Q13" s="88" t="s">
        <v>92</v>
      </c>
      <c r="R13" s="85">
        <v>0.10416666666666667</v>
      </c>
      <c r="S13" s="2" t="s">
        <v>86</v>
      </c>
      <c r="T13" s="93" t="s">
        <v>145</v>
      </c>
    </row>
    <row r="14" spans="2:20" x14ac:dyDescent="0.25">
      <c r="B14" t="s">
        <v>362</v>
      </c>
      <c r="C14" s="81">
        <v>1.3888888888888888E-2</v>
      </c>
      <c r="D14" t="s">
        <v>103</v>
      </c>
      <c r="E14" t="s">
        <v>327</v>
      </c>
      <c r="F14" s="81">
        <v>0.10416666666666667</v>
      </c>
      <c r="G14" t="s">
        <v>100</v>
      </c>
      <c r="H14" t="s">
        <v>293</v>
      </c>
      <c r="I14" s="81">
        <v>2.4305555555555556E-2</v>
      </c>
      <c r="J14" t="s">
        <v>100</v>
      </c>
      <c r="K14" t="s">
        <v>274</v>
      </c>
      <c r="L14" s="81">
        <v>4.1666666666666664E-2</v>
      </c>
      <c r="M14" t="s">
        <v>103</v>
      </c>
      <c r="N14" t="s">
        <v>242</v>
      </c>
      <c r="O14" s="81">
        <v>1.0416666666666666E-2</v>
      </c>
      <c r="P14" t="s">
        <v>103</v>
      </c>
      <c r="Q14" s="88" t="s">
        <v>204</v>
      </c>
      <c r="R14" s="85">
        <v>7.7777777777777779E-2</v>
      </c>
      <c r="S14" s="35" t="s">
        <v>98</v>
      </c>
      <c r="T14" s="93" t="s">
        <v>146</v>
      </c>
    </row>
    <row r="15" spans="2:20" x14ac:dyDescent="0.25">
      <c r="B15" t="s">
        <v>363</v>
      </c>
      <c r="C15" s="81">
        <v>1.9444444444444445E-2</v>
      </c>
      <c r="D15" t="s">
        <v>103</v>
      </c>
      <c r="E15" t="s">
        <v>328</v>
      </c>
      <c r="F15" s="81">
        <v>2.0833333333333332E-2</v>
      </c>
      <c r="G15" t="s">
        <v>86</v>
      </c>
      <c r="H15" t="s">
        <v>293</v>
      </c>
      <c r="I15" s="81">
        <v>2.4305555555555556E-2</v>
      </c>
      <c r="J15" t="s">
        <v>98</v>
      </c>
      <c r="K15" t="s">
        <v>275</v>
      </c>
      <c r="L15" s="81">
        <v>0.16666666666666666</v>
      </c>
      <c r="M15" t="s">
        <v>100</v>
      </c>
      <c r="N15" t="s">
        <v>243</v>
      </c>
      <c r="O15" s="81">
        <v>0.22152777777777777</v>
      </c>
      <c r="P15" t="s">
        <v>98</v>
      </c>
      <c r="Q15" s="88" t="s">
        <v>205</v>
      </c>
      <c r="R15" s="85">
        <v>1.0416666666666666E-2</v>
      </c>
      <c r="S15" s="35" t="s">
        <v>98</v>
      </c>
      <c r="T15" s="93" t="s">
        <v>147</v>
      </c>
    </row>
    <row r="16" spans="2:20" x14ac:dyDescent="0.25">
      <c r="B16" t="s">
        <v>364</v>
      </c>
      <c r="C16" s="81">
        <v>6.25E-2</v>
      </c>
      <c r="D16" t="s">
        <v>101</v>
      </c>
      <c r="E16" t="s">
        <v>330</v>
      </c>
      <c r="F16" s="81">
        <v>0.14583333333333334</v>
      </c>
      <c r="G16" t="s">
        <v>101</v>
      </c>
      <c r="H16" t="s">
        <v>294</v>
      </c>
      <c r="I16" s="81">
        <v>9.7222222222222224E-2</v>
      </c>
      <c r="J16" t="s">
        <v>103</v>
      </c>
      <c r="K16" t="s">
        <v>276</v>
      </c>
      <c r="L16" s="81">
        <v>2.7777777777777776E-2</v>
      </c>
      <c r="M16" t="s">
        <v>100</v>
      </c>
      <c r="N16" t="s">
        <v>244</v>
      </c>
      <c r="O16" s="81">
        <v>2.0833333333333332E-2</v>
      </c>
      <c r="P16" t="s">
        <v>103</v>
      </c>
      <c r="Q16" s="88" t="s">
        <v>206</v>
      </c>
      <c r="R16" s="85">
        <v>0.13055555555555556</v>
      </c>
      <c r="S16" s="35" t="s">
        <v>98</v>
      </c>
      <c r="T16" s="95" t="s">
        <v>148</v>
      </c>
    </row>
    <row r="17" spans="2:20" x14ac:dyDescent="0.25">
      <c r="B17" t="s">
        <v>365</v>
      </c>
      <c r="C17" s="81">
        <v>0.10416666666666667</v>
      </c>
      <c r="D17" t="s">
        <v>100</v>
      </c>
      <c r="E17" t="s">
        <v>331</v>
      </c>
      <c r="F17" s="81">
        <v>4.1666666666666664E-2</v>
      </c>
      <c r="G17" t="s">
        <v>86</v>
      </c>
      <c r="H17" t="s">
        <v>296</v>
      </c>
      <c r="I17" s="81">
        <v>0.125</v>
      </c>
      <c r="J17" t="s">
        <v>101</v>
      </c>
      <c r="K17" t="s">
        <v>277</v>
      </c>
      <c r="L17" s="81">
        <v>3.4722222222222224E-2</v>
      </c>
      <c r="M17" t="s">
        <v>103</v>
      </c>
      <c r="N17" t="s">
        <v>245</v>
      </c>
      <c r="O17" s="81">
        <v>7.6388888888888895E-2</v>
      </c>
      <c r="P17" t="s">
        <v>86</v>
      </c>
      <c r="Q17" s="88" t="s">
        <v>207</v>
      </c>
      <c r="R17" s="85">
        <v>2.7777777777777776E-2</v>
      </c>
      <c r="S17" s="35" t="s">
        <v>98</v>
      </c>
      <c r="T17" s="93" t="s">
        <v>149</v>
      </c>
    </row>
    <row r="18" spans="2:20" x14ac:dyDescent="0.25">
      <c r="B18" t="s">
        <v>365</v>
      </c>
      <c r="C18" s="81">
        <v>1.3888888888888888E-2</v>
      </c>
      <c r="D18" t="s">
        <v>103</v>
      </c>
      <c r="E18" t="s">
        <v>331</v>
      </c>
      <c r="F18" s="81">
        <v>3.125E-2</v>
      </c>
      <c r="G18" t="s">
        <v>101</v>
      </c>
      <c r="H18" t="s">
        <v>297</v>
      </c>
      <c r="I18" s="81">
        <v>0.10416666666666667</v>
      </c>
      <c r="J18" t="s">
        <v>101</v>
      </c>
      <c r="K18" t="s">
        <v>277</v>
      </c>
      <c r="L18" s="81">
        <v>3.4722222222222224E-2</v>
      </c>
      <c r="M18" t="s">
        <v>100</v>
      </c>
      <c r="N18" t="s">
        <v>246</v>
      </c>
      <c r="O18" s="81">
        <v>0.10416666666666667</v>
      </c>
      <c r="P18" t="s">
        <v>101</v>
      </c>
      <c r="Q18" s="88" t="s">
        <v>208</v>
      </c>
      <c r="R18" s="85">
        <v>6.9444444444444434E-2</v>
      </c>
      <c r="S18" s="35" t="s">
        <v>98</v>
      </c>
      <c r="T18" s="93" t="s">
        <v>150</v>
      </c>
    </row>
    <row r="19" spans="2:20" x14ac:dyDescent="0.25">
      <c r="B19" t="s">
        <v>366</v>
      </c>
      <c r="C19" s="81">
        <v>8.3333333333333329E-2</v>
      </c>
      <c r="D19" t="s">
        <v>100</v>
      </c>
      <c r="E19" t="s">
        <v>332</v>
      </c>
      <c r="F19" s="81">
        <v>0.11805555555555557</v>
      </c>
      <c r="G19" t="s">
        <v>86</v>
      </c>
      <c r="H19" t="s">
        <v>298</v>
      </c>
      <c r="I19" s="81">
        <v>0.125</v>
      </c>
      <c r="J19" t="s">
        <v>101</v>
      </c>
      <c r="K19" t="s">
        <v>277</v>
      </c>
      <c r="L19" s="81">
        <v>3.4722222222222224E-2</v>
      </c>
      <c r="M19" t="s">
        <v>98</v>
      </c>
      <c r="N19" t="s">
        <v>247</v>
      </c>
      <c r="O19" s="81">
        <v>9.9999999999999992E-2</v>
      </c>
      <c r="P19" t="s">
        <v>103</v>
      </c>
      <c r="Q19" s="88" t="s">
        <v>209</v>
      </c>
      <c r="R19" s="85">
        <v>2.7777777777777776E-2</v>
      </c>
      <c r="S19" s="35" t="s">
        <v>98</v>
      </c>
      <c r="T19" s="93" t="s">
        <v>149</v>
      </c>
    </row>
    <row r="20" spans="2:20" x14ac:dyDescent="0.25">
      <c r="B20" t="s">
        <v>367</v>
      </c>
      <c r="C20" s="81">
        <v>6.25E-2</v>
      </c>
      <c r="D20" t="s">
        <v>100</v>
      </c>
      <c r="E20" t="s">
        <v>333</v>
      </c>
      <c r="F20" s="81">
        <v>6.25E-2</v>
      </c>
      <c r="G20" t="s">
        <v>86</v>
      </c>
      <c r="H20" t="s">
        <v>299</v>
      </c>
      <c r="I20" s="81">
        <v>0.125</v>
      </c>
      <c r="J20" t="s">
        <v>101</v>
      </c>
      <c r="K20" t="s">
        <v>278</v>
      </c>
      <c r="L20" s="81">
        <v>0.16666666666666666</v>
      </c>
      <c r="M20" t="s">
        <v>101</v>
      </c>
      <c r="N20" t="s">
        <v>248</v>
      </c>
      <c r="O20" s="81">
        <v>0.16666666666666666</v>
      </c>
      <c r="P20" t="s">
        <v>101</v>
      </c>
      <c r="Q20" s="88" t="s">
        <v>210</v>
      </c>
      <c r="R20" s="85">
        <v>4.7222222222222221E-2</v>
      </c>
      <c r="S20" s="35" t="s">
        <v>98</v>
      </c>
      <c r="T20" s="93" t="s">
        <v>151</v>
      </c>
    </row>
    <row r="21" spans="2:20" x14ac:dyDescent="0.25">
      <c r="B21" t="s">
        <v>368</v>
      </c>
      <c r="C21" s="81">
        <v>0.10416666666666667</v>
      </c>
      <c r="D21" t="s">
        <v>101</v>
      </c>
      <c r="E21" t="s">
        <v>334</v>
      </c>
      <c r="F21" s="81">
        <v>4.1666666666666664E-2</v>
      </c>
      <c r="G21" t="s">
        <v>100</v>
      </c>
      <c r="H21" t="s">
        <v>295</v>
      </c>
      <c r="I21" s="81">
        <v>4.1666666666666664E-2</v>
      </c>
      <c r="J21" t="s">
        <v>101</v>
      </c>
      <c r="K21" t="s">
        <v>279</v>
      </c>
      <c r="L21" s="81">
        <v>6.25E-2</v>
      </c>
      <c r="M21" t="s">
        <v>101</v>
      </c>
      <c r="N21" t="s">
        <v>249</v>
      </c>
      <c r="O21" s="81">
        <v>0.14583333333333334</v>
      </c>
      <c r="P21" t="s">
        <v>100</v>
      </c>
      <c r="Q21" s="88" t="s">
        <v>211</v>
      </c>
      <c r="R21" s="85">
        <v>1.7361111111111112E-2</v>
      </c>
      <c r="S21" s="35" t="s">
        <v>98</v>
      </c>
      <c r="T21" s="93" t="s">
        <v>152</v>
      </c>
    </row>
    <row r="22" spans="2:20" x14ac:dyDescent="0.25">
      <c r="B22" t="s">
        <v>369</v>
      </c>
      <c r="C22" s="81">
        <v>1.3194444444444444E-2</v>
      </c>
      <c r="D22" t="s">
        <v>98</v>
      </c>
      <c r="E22" t="s">
        <v>335</v>
      </c>
      <c r="F22" s="81">
        <v>2.7777777777777776E-2</v>
      </c>
      <c r="G22" t="s">
        <v>86</v>
      </c>
      <c r="H22" t="s">
        <v>300</v>
      </c>
      <c r="I22" s="81">
        <v>0.10416666666666667</v>
      </c>
      <c r="J22" t="s">
        <v>100</v>
      </c>
      <c r="K22" t="s">
        <v>280</v>
      </c>
      <c r="L22" s="81">
        <v>2.4305555555555556E-2</v>
      </c>
      <c r="M22" t="s">
        <v>98</v>
      </c>
      <c r="N22" t="s">
        <v>250</v>
      </c>
      <c r="O22" s="81">
        <v>6.25E-2</v>
      </c>
      <c r="P22" t="s">
        <v>100</v>
      </c>
      <c r="Q22" s="88" t="s">
        <v>206</v>
      </c>
      <c r="R22" s="85">
        <v>8.1944444444444445E-2</v>
      </c>
      <c r="S22" s="35" t="s">
        <v>98</v>
      </c>
      <c r="T22" s="93" t="s">
        <v>145</v>
      </c>
    </row>
    <row r="23" spans="2:20" x14ac:dyDescent="0.25">
      <c r="B23" t="s">
        <v>370</v>
      </c>
      <c r="C23" s="81">
        <v>3.472222222222222E-3</v>
      </c>
      <c r="D23" t="s">
        <v>103</v>
      </c>
      <c r="E23" t="s">
        <v>336</v>
      </c>
      <c r="F23" s="81">
        <v>3.4722222222222224E-2</v>
      </c>
      <c r="G23" t="s">
        <v>98</v>
      </c>
      <c r="H23" t="s">
        <v>301</v>
      </c>
      <c r="I23" s="81">
        <v>6.9444444444444441E-3</v>
      </c>
      <c r="J23" t="s">
        <v>101</v>
      </c>
      <c r="K23" t="s">
        <v>281</v>
      </c>
      <c r="L23" s="81">
        <v>4.1666666666666664E-2</v>
      </c>
      <c r="M23" t="s">
        <v>86</v>
      </c>
      <c r="N23" t="s">
        <v>251</v>
      </c>
      <c r="O23" s="81">
        <v>0.10416666666666667</v>
      </c>
      <c r="P23" t="s">
        <v>100</v>
      </c>
      <c r="Q23" s="88" t="s">
        <v>212</v>
      </c>
      <c r="R23" s="85">
        <v>8.3333333333333329E-2</v>
      </c>
      <c r="S23" s="35" t="s">
        <v>100</v>
      </c>
      <c r="T23" s="93" t="s">
        <v>153</v>
      </c>
    </row>
    <row r="24" spans="2:20" x14ac:dyDescent="0.25">
      <c r="B24" t="s">
        <v>371</v>
      </c>
      <c r="C24" s="81">
        <v>0.125</v>
      </c>
      <c r="D24" t="s">
        <v>101</v>
      </c>
      <c r="E24" t="s">
        <v>336</v>
      </c>
      <c r="F24" s="81">
        <v>1.0416666666666666E-2</v>
      </c>
      <c r="G24" t="s">
        <v>103</v>
      </c>
      <c r="H24" t="s">
        <v>302</v>
      </c>
      <c r="I24" s="81">
        <v>2.7777777777777776E-2</v>
      </c>
      <c r="J24" t="s">
        <v>103</v>
      </c>
      <c r="K24" t="s">
        <v>282</v>
      </c>
      <c r="L24" s="81">
        <v>4.8611111111111112E-2</v>
      </c>
      <c r="M24" t="s">
        <v>86</v>
      </c>
      <c r="N24" t="s">
        <v>252</v>
      </c>
      <c r="O24" s="81">
        <v>9.6527777777777768E-2</v>
      </c>
      <c r="P24" t="s">
        <v>103</v>
      </c>
      <c r="Q24" s="88" t="s">
        <v>213</v>
      </c>
      <c r="R24" s="85">
        <v>0.10416666666666667</v>
      </c>
      <c r="S24" s="35" t="s">
        <v>100</v>
      </c>
      <c r="T24" s="93" t="s">
        <v>154</v>
      </c>
    </row>
    <row r="25" spans="2:20" x14ac:dyDescent="0.25">
      <c r="B25" t="s">
        <v>372</v>
      </c>
      <c r="C25" s="81">
        <v>4.1666666666666664E-2</v>
      </c>
      <c r="D25" t="s">
        <v>101</v>
      </c>
      <c r="E25" t="s">
        <v>337</v>
      </c>
      <c r="F25" s="81">
        <v>0.14583333333333334</v>
      </c>
      <c r="G25" t="s">
        <v>100</v>
      </c>
      <c r="H25" t="s">
        <v>303</v>
      </c>
      <c r="I25" s="81">
        <v>0.16458333333333333</v>
      </c>
      <c r="J25" t="s">
        <v>98</v>
      </c>
      <c r="K25" t="s">
        <v>283</v>
      </c>
      <c r="L25" s="81">
        <v>0.12986111111111112</v>
      </c>
      <c r="M25" t="s">
        <v>98</v>
      </c>
      <c r="N25" t="s">
        <v>253</v>
      </c>
      <c r="O25" s="81">
        <v>8.3333333333333329E-2</v>
      </c>
      <c r="P25" t="s">
        <v>103</v>
      </c>
      <c r="Q25" s="88" t="s">
        <v>214</v>
      </c>
      <c r="R25" s="85">
        <v>7.2916666666666671E-2</v>
      </c>
      <c r="S25" s="35" t="s">
        <v>100</v>
      </c>
      <c r="T25" s="93" t="s">
        <v>155</v>
      </c>
    </row>
    <row r="26" spans="2:20" x14ac:dyDescent="0.25">
      <c r="B26" t="s">
        <v>373</v>
      </c>
      <c r="C26" s="81">
        <v>4.1666666666666664E-2</v>
      </c>
      <c r="D26" t="s">
        <v>101</v>
      </c>
      <c r="E26" t="s">
        <v>338</v>
      </c>
      <c r="F26" s="81">
        <v>0.19444444444444445</v>
      </c>
      <c r="G26" t="s">
        <v>86</v>
      </c>
      <c r="H26" t="s">
        <v>304</v>
      </c>
      <c r="I26" s="81">
        <v>8.9583333333333334E-2</v>
      </c>
      <c r="J26" t="s">
        <v>98</v>
      </c>
      <c r="K26" t="s">
        <v>284</v>
      </c>
      <c r="L26" s="81">
        <v>0.10416666666666667</v>
      </c>
      <c r="M26" t="s">
        <v>100</v>
      </c>
      <c r="N26" t="s">
        <v>254</v>
      </c>
      <c r="O26" s="81">
        <v>0.125</v>
      </c>
      <c r="P26" t="s">
        <v>101</v>
      </c>
      <c r="Q26" s="88" t="s">
        <v>207</v>
      </c>
      <c r="R26" s="85">
        <v>1.3888888888888888E-2</v>
      </c>
      <c r="S26" s="35" t="s">
        <v>100</v>
      </c>
      <c r="T26" s="93" t="s">
        <v>156</v>
      </c>
    </row>
    <row r="27" spans="2:20" x14ac:dyDescent="0.25">
      <c r="B27" t="s">
        <v>374</v>
      </c>
      <c r="C27" s="81">
        <v>8.3333333333333329E-2</v>
      </c>
      <c r="D27" t="s">
        <v>101</v>
      </c>
      <c r="E27" t="s">
        <v>339</v>
      </c>
      <c r="F27" s="81">
        <v>2.7777777777777776E-2</v>
      </c>
      <c r="G27" t="s">
        <v>100</v>
      </c>
      <c r="H27" t="s">
        <v>305</v>
      </c>
      <c r="I27" s="81">
        <v>0.11805555555555557</v>
      </c>
      <c r="J27" t="s">
        <v>86</v>
      </c>
      <c r="K27" t="s">
        <v>285</v>
      </c>
      <c r="L27" s="81">
        <v>7.7777777777777779E-2</v>
      </c>
      <c r="M27" t="s">
        <v>103</v>
      </c>
      <c r="N27" t="s">
        <v>255</v>
      </c>
      <c r="O27" s="81">
        <v>7.2916666666666671E-2</v>
      </c>
      <c r="P27" t="s">
        <v>98</v>
      </c>
      <c r="Q27" s="88" t="s">
        <v>215</v>
      </c>
      <c r="R27" s="85">
        <v>0.10416666666666667</v>
      </c>
      <c r="S27" s="35" t="s">
        <v>100</v>
      </c>
      <c r="T27" s="93" t="s">
        <v>157</v>
      </c>
    </row>
    <row r="28" spans="2:20" x14ac:dyDescent="0.25">
      <c r="B28" t="s">
        <v>375</v>
      </c>
      <c r="C28" s="81">
        <v>4.7222222222222221E-2</v>
      </c>
      <c r="D28" t="s">
        <v>103</v>
      </c>
      <c r="E28" t="s">
        <v>340</v>
      </c>
      <c r="F28" s="81">
        <v>1.7361111111111112E-2</v>
      </c>
      <c r="G28" t="s">
        <v>103</v>
      </c>
      <c r="H28" t="s">
        <v>306</v>
      </c>
      <c r="I28" s="81">
        <v>8.3333333333333329E-2</v>
      </c>
      <c r="J28" t="s">
        <v>100</v>
      </c>
      <c r="K28" t="s">
        <v>286</v>
      </c>
      <c r="L28" s="81">
        <v>0.10555555555555556</v>
      </c>
      <c r="M28" t="s">
        <v>103</v>
      </c>
      <c r="N28" t="s">
        <v>255</v>
      </c>
      <c r="O28" s="81">
        <v>1.7361111111111112E-2</v>
      </c>
      <c r="P28" t="s">
        <v>100</v>
      </c>
      <c r="Q28" s="88" t="s">
        <v>216</v>
      </c>
      <c r="R28" s="85">
        <v>7.2916666666666671E-2</v>
      </c>
      <c r="S28" s="35" t="s">
        <v>100</v>
      </c>
      <c r="T28" s="93" t="s">
        <v>158</v>
      </c>
    </row>
    <row r="29" spans="2:20" x14ac:dyDescent="0.25">
      <c r="B29" t="s">
        <v>375</v>
      </c>
      <c r="C29" s="81">
        <v>0.12847222222222224</v>
      </c>
      <c r="D29" t="s">
        <v>98</v>
      </c>
      <c r="E29" t="s">
        <v>341</v>
      </c>
      <c r="F29" s="81">
        <v>8.3333333333333329E-2</v>
      </c>
      <c r="G29" t="s">
        <v>101</v>
      </c>
      <c r="H29" t="s">
        <v>306</v>
      </c>
      <c r="I29" s="81">
        <v>8.3333333333333329E-2</v>
      </c>
      <c r="J29" t="s">
        <v>103</v>
      </c>
      <c r="K29" t="s">
        <v>287</v>
      </c>
      <c r="L29" s="81">
        <v>0.17361111111111113</v>
      </c>
      <c r="M29" t="s">
        <v>103</v>
      </c>
      <c r="N29" t="s">
        <v>139</v>
      </c>
      <c r="O29" s="81">
        <v>9.0277777777777776E-2</v>
      </c>
      <c r="P29" t="s">
        <v>86</v>
      </c>
      <c r="Q29" s="88" t="s">
        <v>217</v>
      </c>
      <c r="R29" s="85">
        <v>0.13541666666666666</v>
      </c>
      <c r="S29" s="35" t="s">
        <v>100</v>
      </c>
      <c r="T29" s="93" t="s">
        <v>159</v>
      </c>
    </row>
    <row r="30" spans="2:20" x14ac:dyDescent="0.25">
      <c r="B30" t="s">
        <v>375</v>
      </c>
      <c r="C30" s="81">
        <v>3.4722222222222224E-2</v>
      </c>
      <c r="D30" t="s">
        <v>100</v>
      </c>
      <c r="E30" t="s">
        <v>342</v>
      </c>
      <c r="F30" s="81">
        <v>0.10416666666666667</v>
      </c>
      <c r="G30" t="s">
        <v>100</v>
      </c>
      <c r="H30" t="s">
        <v>306</v>
      </c>
      <c r="I30" s="81">
        <v>8.3333333333333329E-2</v>
      </c>
      <c r="J30" t="s">
        <v>98</v>
      </c>
      <c r="K30" t="s">
        <v>288</v>
      </c>
      <c r="L30" s="81">
        <v>4.5833333333333337E-2</v>
      </c>
      <c r="M30" t="s">
        <v>98</v>
      </c>
      <c r="N30" t="s">
        <v>256</v>
      </c>
      <c r="O30" s="81">
        <v>0.15277777777777776</v>
      </c>
      <c r="P30" t="s">
        <v>102</v>
      </c>
      <c r="Q30" s="88" t="s">
        <v>218</v>
      </c>
      <c r="R30" s="85">
        <v>3.125E-2</v>
      </c>
      <c r="S30" s="35" t="s">
        <v>100</v>
      </c>
      <c r="T30" s="93" t="s">
        <v>160</v>
      </c>
    </row>
    <row r="31" spans="2:20" x14ac:dyDescent="0.25">
      <c r="B31" t="s">
        <v>376</v>
      </c>
      <c r="C31" s="81">
        <v>9.0972222222222218E-2</v>
      </c>
      <c r="D31" t="s">
        <v>103</v>
      </c>
      <c r="E31" t="s">
        <v>343</v>
      </c>
      <c r="F31" s="81">
        <v>0.17083333333333331</v>
      </c>
      <c r="G31" t="s">
        <v>103</v>
      </c>
      <c r="H31" t="s">
        <v>307</v>
      </c>
      <c r="I31" s="81">
        <v>2.0833333333333332E-2</v>
      </c>
      <c r="J31" t="s">
        <v>100</v>
      </c>
      <c r="K31" t="s">
        <v>286</v>
      </c>
      <c r="L31" s="81">
        <v>0.11180555555555556</v>
      </c>
      <c r="M31" t="s">
        <v>98</v>
      </c>
      <c r="N31" t="s">
        <v>256</v>
      </c>
      <c r="O31" s="81">
        <v>6.0416666666666667E-2</v>
      </c>
      <c r="P31" t="s">
        <v>98</v>
      </c>
      <c r="Q31" s="88" t="s">
        <v>233</v>
      </c>
      <c r="R31" s="85">
        <v>6.9444444444444441E-3</v>
      </c>
      <c r="S31" s="35" t="s">
        <v>100</v>
      </c>
      <c r="T31" s="93" t="s">
        <v>161</v>
      </c>
    </row>
    <row r="32" spans="2:20" x14ac:dyDescent="0.25">
      <c r="B32" t="s">
        <v>377</v>
      </c>
      <c r="C32" s="81">
        <v>0.125</v>
      </c>
      <c r="D32" t="s">
        <v>86</v>
      </c>
      <c r="E32" t="s">
        <v>344</v>
      </c>
      <c r="F32" s="81">
        <v>2.7777777777777776E-2</v>
      </c>
      <c r="G32" t="s">
        <v>100</v>
      </c>
      <c r="H32" t="s">
        <v>308</v>
      </c>
      <c r="I32" s="81">
        <v>0.10416666666666667</v>
      </c>
      <c r="J32" t="s">
        <v>100</v>
      </c>
      <c r="K32" t="s">
        <v>289</v>
      </c>
      <c r="L32" s="81">
        <v>0.22222222222222221</v>
      </c>
      <c r="M32" t="s">
        <v>86</v>
      </c>
      <c r="N32" t="s">
        <v>257</v>
      </c>
      <c r="O32" s="81">
        <v>1.3888888888888888E-2</v>
      </c>
      <c r="P32" t="s">
        <v>98</v>
      </c>
      <c r="Q32" s="88" t="s">
        <v>219</v>
      </c>
      <c r="R32" s="85">
        <v>5.5555555555555552E-2</v>
      </c>
      <c r="S32" s="35" t="s">
        <v>101</v>
      </c>
      <c r="T32" s="93" t="s">
        <v>162</v>
      </c>
    </row>
    <row r="33" spans="2:20" x14ac:dyDescent="0.25">
      <c r="B33" t="s">
        <v>378</v>
      </c>
      <c r="C33" s="81">
        <v>8.3333333333333329E-2</v>
      </c>
      <c r="D33" t="s">
        <v>86</v>
      </c>
      <c r="E33" t="s">
        <v>345</v>
      </c>
      <c r="F33" s="81">
        <v>8.3333333333333329E-2</v>
      </c>
      <c r="G33" t="s">
        <v>100</v>
      </c>
      <c r="H33" t="s">
        <v>309</v>
      </c>
      <c r="I33" s="81">
        <v>0.13194444444444445</v>
      </c>
      <c r="J33" t="s">
        <v>86</v>
      </c>
      <c r="K33" s="2" t="s">
        <v>233</v>
      </c>
      <c r="L33" s="81">
        <v>3.3333333333333333E-2</v>
      </c>
      <c r="M33" t="s">
        <v>103</v>
      </c>
      <c r="N33" t="s">
        <v>258</v>
      </c>
      <c r="O33" s="81">
        <v>8.7500000000000008E-2</v>
      </c>
      <c r="P33" t="s">
        <v>103</v>
      </c>
      <c r="Q33" s="88" t="s">
        <v>220</v>
      </c>
      <c r="R33" s="85">
        <v>6.9444444444444441E-3</v>
      </c>
      <c r="S33" s="35" t="s">
        <v>101</v>
      </c>
      <c r="T33" s="93" t="s">
        <v>163</v>
      </c>
    </row>
    <row r="34" spans="2:20" x14ac:dyDescent="0.25">
      <c r="B34" t="s">
        <v>358</v>
      </c>
      <c r="C34" s="81">
        <v>4.1666666666666664E-2</v>
      </c>
      <c r="D34" t="s">
        <v>86</v>
      </c>
      <c r="E34" t="s">
        <v>346</v>
      </c>
      <c r="F34" s="81">
        <v>8.3333333333333329E-2</v>
      </c>
      <c r="G34" t="s">
        <v>100</v>
      </c>
      <c r="H34" t="s">
        <v>310</v>
      </c>
      <c r="I34" s="81">
        <v>6.9444444444444434E-2</v>
      </c>
      <c r="J34" t="s">
        <v>86</v>
      </c>
      <c r="K34" s="2" t="s">
        <v>233</v>
      </c>
      <c r="L34" s="81">
        <v>9.0277777777777776E-2</v>
      </c>
      <c r="M34" t="s">
        <v>100</v>
      </c>
      <c r="N34" s="96" t="s">
        <v>259</v>
      </c>
      <c r="Q34" s="88" t="s">
        <v>221</v>
      </c>
      <c r="R34" s="85">
        <v>6.25E-2</v>
      </c>
      <c r="S34" s="35" t="s">
        <v>101</v>
      </c>
      <c r="T34" s="93" t="s">
        <v>164</v>
      </c>
    </row>
    <row r="35" spans="2:20" x14ac:dyDescent="0.25">
      <c r="B35" t="s">
        <v>379</v>
      </c>
      <c r="C35" s="81">
        <v>0.12152777777777778</v>
      </c>
      <c r="D35" t="s">
        <v>98</v>
      </c>
      <c r="E35" t="s">
        <v>347</v>
      </c>
      <c r="F35" s="81">
        <v>2.0833333333333332E-2</v>
      </c>
      <c r="G35" t="s">
        <v>103</v>
      </c>
      <c r="H35" t="s">
        <v>311</v>
      </c>
      <c r="I35" s="81">
        <v>0.16666666666666666</v>
      </c>
      <c r="J35" t="s">
        <v>86</v>
      </c>
      <c r="K35" s="2" t="s">
        <v>233</v>
      </c>
      <c r="L35" s="81">
        <v>3.8194444444444441E-2</v>
      </c>
      <c r="M35" t="s">
        <v>101</v>
      </c>
      <c r="N35" s="97" t="s">
        <v>262</v>
      </c>
      <c r="O35" s="81">
        <v>0.1111111111111111</v>
      </c>
      <c r="P35" t="s">
        <v>86</v>
      </c>
      <c r="Q35" s="88" t="s">
        <v>222</v>
      </c>
      <c r="R35" s="85">
        <v>0.10416666666666667</v>
      </c>
      <c r="S35" s="35" t="s">
        <v>101</v>
      </c>
      <c r="T35" s="93" t="s">
        <v>165</v>
      </c>
    </row>
    <row r="36" spans="2:20" x14ac:dyDescent="0.25">
      <c r="B36" t="s">
        <v>380</v>
      </c>
      <c r="C36" s="81">
        <v>1.7361111111111112E-2</v>
      </c>
      <c r="D36" t="s">
        <v>98</v>
      </c>
      <c r="E36" t="s">
        <v>350</v>
      </c>
      <c r="F36" s="81">
        <v>0.16666666666666666</v>
      </c>
      <c r="G36" t="s">
        <v>98</v>
      </c>
      <c r="H36" t="s">
        <v>313</v>
      </c>
      <c r="I36" s="81">
        <v>2.7777777777777776E-2</v>
      </c>
      <c r="J36" t="s">
        <v>86</v>
      </c>
      <c r="K36" s="2" t="s">
        <v>233</v>
      </c>
      <c r="L36" s="81">
        <v>2.4305555555555556E-2</v>
      </c>
      <c r="M36" t="s">
        <v>86</v>
      </c>
      <c r="N36" s="97" t="s">
        <v>263</v>
      </c>
      <c r="O36" s="81">
        <v>0.13194444444444445</v>
      </c>
      <c r="P36" t="s">
        <v>86</v>
      </c>
      <c r="Q36" s="88" t="s">
        <v>223</v>
      </c>
      <c r="R36" s="85">
        <v>6.25E-2</v>
      </c>
      <c r="S36" s="35" t="s">
        <v>101</v>
      </c>
      <c r="T36" s="93" t="s">
        <v>144</v>
      </c>
    </row>
    <row r="37" spans="2:20" x14ac:dyDescent="0.25">
      <c r="B37" t="s">
        <v>381</v>
      </c>
      <c r="C37" s="81">
        <v>4.1666666666666664E-2</v>
      </c>
      <c r="D37" t="s">
        <v>86</v>
      </c>
      <c r="E37" t="s">
        <v>351</v>
      </c>
      <c r="F37" s="81">
        <v>0.15625</v>
      </c>
      <c r="G37" t="s">
        <v>98</v>
      </c>
      <c r="H37" t="s">
        <v>322</v>
      </c>
      <c r="I37" s="81">
        <v>0.14583333333333334</v>
      </c>
      <c r="J37" t="s">
        <v>101</v>
      </c>
      <c r="K37" s="35" t="s">
        <v>256</v>
      </c>
      <c r="L37" s="81">
        <v>1.8055555555555557E-2</v>
      </c>
      <c r="M37" t="s">
        <v>98</v>
      </c>
      <c r="N37" s="97" t="s">
        <v>264</v>
      </c>
      <c r="O37" s="81">
        <v>8.3333333333333329E-2</v>
      </c>
      <c r="P37" t="s">
        <v>86</v>
      </c>
      <c r="Q37" s="88" t="s">
        <v>224</v>
      </c>
      <c r="R37" s="85">
        <v>0.10416666666666667</v>
      </c>
      <c r="S37" s="35" t="s">
        <v>101</v>
      </c>
      <c r="T37" s="93" t="s">
        <v>166</v>
      </c>
    </row>
    <row r="38" spans="2:20" x14ac:dyDescent="0.25">
      <c r="B38" t="s">
        <v>382</v>
      </c>
      <c r="C38" s="81">
        <v>8.0555555555555561E-2</v>
      </c>
      <c r="D38" t="s">
        <v>98</v>
      </c>
      <c r="E38" t="s">
        <v>349</v>
      </c>
      <c r="F38" s="81">
        <v>3.8194444444444441E-2</v>
      </c>
      <c r="G38" t="s">
        <v>103</v>
      </c>
      <c r="H38" t="s">
        <v>321</v>
      </c>
      <c r="I38" s="81">
        <v>9.7222222222222224E-2</v>
      </c>
      <c r="J38" t="s">
        <v>98</v>
      </c>
      <c r="N38" s="97" t="s">
        <v>266</v>
      </c>
      <c r="O38" s="81">
        <v>2.7777777777777776E-2</v>
      </c>
      <c r="P38" t="s">
        <v>86</v>
      </c>
      <c r="Q38" s="88" t="s">
        <v>225</v>
      </c>
      <c r="R38" s="85">
        <v>2.0833333333333332E-2</v>
      </c>
      <c r="S38" s="35" t="s">
        <v>101</v>
      </c>
      <c r="T38" s="93" t="s">
        <v>167</v>
      </c>
    </row>
    <row r="39" spans="2:20" x14ac:dyDescent="0.25">
      <c r="B39" t="s">
        <v>383</v>
      </c>
      <c r="C39" s="81">
        <v>4.8611111111111112E-2</v>
      </c>
      <c r="D39" t="s">
        <v>98</v>
      </c>
      <c r="E39" t="s">
        <v>352</v>
      </c>
      <c r="F39" s="81">
        <v>8.819444444444445E-2</v>
      </c>
      <c r="G39" t="s">
        <v>103</v>
      </c>
      <c r="H39" t="s">
        <v>320</v>
      </c>
      <c r="I39" s="81">
        <v>0.13541666666666666</v>
      </c>
      <c r="J39" t="s">
        <v>103</v>
      </c>
      <c r="N39" s="97" t="s">
        <v>266</v>
      </c>
      <c r="O39" s="81">
        <v>2.7777777777777776E-2</v>
      </c>
      <c r="P39" t="s">
        <v>101</v>
      </c>
      <c r="Q39" s="88" t="s">
        <v>226</v>
      </c>
      <c r="R39" s="85">
        <v>0.16666666666666666</v>
      </c>
      <c r="S39" s="35" t="s">
        <v>102</v>
      </c>
      <c r="T39" s="93" t="s">
        <v>168</v>
      </c>
    </row>
    <row r="40" spans="2:20" x14ac:dyDescent="0.25">
      <c r="B40" t="s">
        <v>384</v>
      </c>
      <c r="C40" s="81">
        <v>3.4722222222222224E-2</v>
      </c>
      <c r="D40" t="s">
        <v>86</v>
      </c>
      <c r="E40" t="s">
        <v>353</v>
      </c>
      <c r="F40" s="81">
        <v>7.6388888888888895E-2</v>
      </c>
      <c r="G40" t="s">
        <v>103</v>
      </c>
      <c r="H40" t="s">
        <v>314</v>
      </c>
      <c r="I40" s="81">
        <v>2.9861111111111113E-2</v>
      </c>
      <c r="J40" t="s">
        <v>103</v>
      </c>
      <c r="N40" s="97" t="s">
        <v>265</v>
      </c>
      <c r="O40" s="81">
        <v>0.11805555555555557</v>
      </c>
      <c r="P40" t="s">
        <v>86</v>
      </c>
      <c r="Q40" s="88" t="s">
        <v>208</v>
      </c>
      <c r="R40" s="85">
        <v>0.1875</v>
      </c>
      <c r="S40" s="35" t="s">
        <v>102</v>
      </c>
      <c r="T40" s="93" t="s">
        <v>169</v>
      </c>
    </row>
    <row r="41" spans="2:20" x14ac:dyDescent="0.25">
      <c r="B41" t="s">
        <v>385</v>
      </c>
      <c r="C41" s="81">
        <v>4.1666666666666664E-2</v>
      </c>
      <c r="D41" t="s">
        <v>86</v>
      </c>
      <c r="E41" s="2" t="s">
        <v>233</v>
      </c>
      <c r="F41" s="81">
        <v>8.819444444444445E-2</v>
      </c>
      <c r="G41" t="s">
        <v>103</v>
      </c>
      <c r="H41" t="s">
        <v>315</v>
      </c>
      <c r="I41" s="81">
        <v>1.7361111111111112E-2</v>
      </c>
      <c r="J41" t="s">
        <v>98</v>
      </c>
      <c r="N41" t="s">
        <v>260</v>
      </c>
      <c r="O41" s="81">
        <v>0.14583333333333334</v>
      </c>
      <c r="P41" t="s">
        <v>102</v>
      </c>
      <c r="Q41" s="88" t="s">
        <v>209</v>
      </c>
      <c r="R41" s="85">
        <v>0.12152777777777778</v>
      </c>
      <c r="S41" s="35" t="s">
        <v>102</v>
      </c>
      <c r="T41" s="93" t="s">
        <v>170</v>
      </c>
    </row>
    <row r="42" spans="2:20" x14ac:dyDescent="0.25">
      <c r="B42" t="s">
        <v>386</v>
      </c>
      <c r="C42" s="81">
        <v>8.3333333333333329E-2</v>
      </c>
      <c r="D42" t="s">
        <v>100</v>
      </c>
      <c r="E42" s="2" t="s">
        <v>233</v>
      </c>
      <c r="F42" s="81">
        <v>5.4166666666666669E-2</v>
      </c>
      <c r="G42" t="s">
        <v>100</v>
      </c>
      <c r="H42" t="s">
        <v>319</v>
      </c>
      <c r="I42" s="81">
        <v>0.10416666666666667</v>
      </c>
      <c r="J42" t="s">
        <v>86</v>
      </c>
      <c r="N42" s="2" t="s">
        <v>233</v>
      </c>
      <c r="O42" s="81">
        <v>8.9583333333333334E-2</v>
      </c>
      <c r="P42" t="s">
        <v>103</v>
      </c>
      <c r="Q42" s="88" t="s">
        <v>210</v>
      </c>
      <c r="R42" s="85">
        <v>9.0277777777777776E-2</v>
      </c>
      <c r="S42" s="35" t="s">
        <v>102</v>
      </c>
      <c r="T42" s="93" t="s">
        <v>171</v>
      </c>
    </row>
    <row r="43" spans="2:20" x14ac:dyDescent="0.25">
      <c r="B43" t="s">
        <v>386</v>
      </c>
      <c r="C43" s="81">
        <v>0.13819444444444443</v>
      </c>
      <c r="D43" t="s">
        <v>98</v>
      </c>
      <c r="E43" s="2" t="s">
        <v>233</v>
      </c>
      <c r="F43" s="81">
        <v>2.7777777777777776E-2</v>
      </c>
      <c r="G43" t="s">
        <v>101</v>
      </c>
      <c r="H43" s="2" t="s">
        <v>233</v>
      </c>
      <c r="I43" s="81">
        <v>3.472222222222222E-3</v>
      </c>
      <c r="J43" t="s">
        <v>100</v>
      </c>
      <c r="N43" s="2" t="s">
        <v>233</v>
      </c>
      <c r="O43" s="81">
        <v>4.8611111111111112E-2</v>
      </c>
      <c r="P43" t="s">
        <v>101</v>
      </c>
      <c r="Q43" s="88" t="s">
        <v>196</v>
      </c>
      <c r="R43" s="85">
        <v>0.17708333333333334</v>
      </c>
      <c r="S43" s="35" t="s">
        <v>103</v>
      </c>
      <c r="T43" s="93" t="s">
        <v>172</v>
      </c>
    </row>
    <row r="44" spans="2:20" x14ac:dyDescent="0.25">
      <c r="B44" s="2" t="s">
        <v>233</v>
      </c>
      <c r="C44" s="81">
        <v>1.0416666666666666E-2</v>
      </c>
      <c r="D44" t="s">
        <v>100</v>
      </c>
      <c r="E44" s="35" t="s">
        <v>322</v>
      </c>
      <c r="F44" s="81">
        <v>0.10416666666666667</v>
      </c>
      <c r="G44" t="s">
        <v>101</v>
      </c>
      <c r="H44" s="2" t="s">
        <v>233</v>
      </c>
      <c r="I44" s="81">
        <v>2.7777777777777776E-2</v>
      </c>
      <c r="J44" t="s">
        <v>103</v>
      </c>
      <c r="N44" s="35" t="s">
        <v>261</v>
      </c>
      <c r="O44" s="81">
        <v>2.0833333333333332E-2</v>
      </c>
      <c r="P44" t="s">
        <v>101</v>
      </c>
      <c r="Q44" s="88" t="s">
        <v>195</v>
      </c>
      <c r="R44" s="85">
        <v>2.7777777777777776E-2</v>
      </c>
      <c r="S44" s="35" t="s">
        <v>103</v>
      </c>
      <c r="T44" s="93" t="s">
        <v>173</v>
      </c>
    </row>
    <row r="45" spans="2:20" x14ac:dyDescent="0.25">
      <c r="B45" s="2" t="s">
        <v>233</v>
      </c>
      <c r="C45" s="81">
        <v>9.6527777777777768E-2</v>
      </c>
      <c r="D45" t="s">
        <v>103</v>
      </c>
      <c r="E45" t="s">
        <v>354</v>
      </c>
      <c r="F45" s="81">
        <v>2.7777777777777776E-2</v>
      </c>
      <c r="G45" t="s">
        <v>86</v>
      </c>
      <c r="H45" t="s">
        <v>316</v>
      </c>
      <c r="I45" s="81">
        <v>4.5138888888888888E-2</v>
      </c>
      <c r="J45" t="s">
        <v>103</v>
      </c>
      <c r="N45" s="35" t="s">
        <v>254</v>
      </c>
      <c r="O45" s="81">
        <v>2.0833333333333332E-2</v>
      </c>
      <c r="P45" t="s">
        <v>101</v>
      </c>
      <c r="Q45" s="88" t="s">
        <v>227</v>
      </c>
      <c r="R45" s="85">
        <v>9.7916666666666666E-2</v>
      </c>
      <c r="S45" s="35" t="s">
        <v>103</v>
      </c>
      <c r="T45" s="93" t="s">
        <v>174</v>
      </c>
    </row>
    <row r="46" spans="2:20" x14ac:dyDescent="0.25">
      <c r="B46" t="s">
        <v>387</v>
      </c>
      <c r="C46" s="81">
        <v>7.1527777777777787E-2</v>
      </c>
      <c r="D46" t="s">
        <v>103</v>
      </c>
      <c r="H46" t="s">
        <v>316</v>
      </c>
      <c r="I46" s="81">
        <v>0.20902777777777778</v>
      </c>
      <c r="J46" t="s">
        <v>98</v>
      </c>
      <c r="N46" t="s">
        <v>255</v>
      </c>
      <c r="O46" s="81">
        <v>7.2916666666666671E-2</v>
      </c>
      <c r="P46" t="s">
        <v>102</v>
      </c>
      <c r="Q46" s="88" t="s">
        <v>228</v>
      </c>
      <c r="R46" s="85">
        <v>2.6388888888888889E-2</v>
      </c>
      <c r="S46" s="35" t="s">
        <v>103</v>
      </c>
      <c r="T46" s="93" t="s">
        <v>175</v>
      </c>
    </row>
    <row r="47" spans="2:20" x14ac:dyDescent="0.25">
      <c r="B47" t="s">
        <v>387</v>
      </c>
      <c r="C47" s="81">
        <v>3.4722222222222224E-2</v>
      </c>
      <c r="D47" t="s">
        <v>98</v>
      </c>
      <c r="H47" t="s">
        <v>317</v>
      </c>
      <c r="I47" s="81">
        <v>5.0694444444444452E-2</v>
      </c>
      <c r="J47" t="s">
        <v>98</v>
      </c>
      <c r="Q47" s="88" t="s">
        <v>229</v>
      </c>
      <c r="R47" s="85">
        <v>2.4305555555555556E-2</v>
      </c>
      <c r="S47" s="35" t="s">
        <v>103</v>
      </c>
      <c r="T47" s="93" t="s">
        <v>176</v>
      </c>
    </row>
    <row r="48" spans="2:20" x14ac:dyDescent="0.25">
      <c r="B48" t="s">
        <v>386</v>
      </c>
      <c r="C48" s="81">
        <v>4.1666666666666664E-2</v>
      </c>
      <c r="D48" t="s">
        <v>103</v>
      </c>
      <c r="H48" t="s">
        <v>317</v>
      </c>
      <c r="I48" s="81">
        <v>4.1666666666666666E-3</v>
      </c>
      <c r="J48" t="s">
        <v>103</v>
      </c>
      <c r="Q48" s="88" t="s">
        <v>230</v>
      </c>
      <c r="R48" s="85">
        <v>5.5555555555555552E-2</v>
      </c>
      <c r="S48" s="35" t="s">
        <v>103</v>
      </c>
      <c r="T48" s="93" t="s">
        <v>177</v>
      </c>
    </row>
    <row r="49" spans="8:20" x14ac:dyDescent="0.25">
      <c r="H49" t="s">
        <v>318</v>
      </c>
      <c r="I49" s="81">
        <v>2.7777777777777776E-2</v>
      </c>
      <c r="J49" t="s">
        <v>86</v>
      </c>
      <c r="Q49" s="88" t="s">
        <v>231</v>
      </c>
      <c r="R49" s="85">
        <v>0.14930555555555555</v>
      </c>
      <c r="S49" s="35" t="s">
        <v>103</v>
      </c>
      <c r="T49" s="95" t="s">
        <v>178</v>
      </c>
    </row>
    <row r="50" spans="8:20" x14ac:dyDescent="0.25">
      <c r="H50" t="s">
        <v>323</v>
      </c>
      <c r="I50" s="81">
        <v>0.11458333333333333</v>
      </c>
      <c r="J50" t="s">
        <v>100</v>
      </c>
      <c r="Q50" s="88" t="s">
        <v>232</v>
      </c>
      <c r="R50" s="85">
        <v>7.6388888888888895E-2</v>
      </c>
      <c r="S50" s="35" t="s">
        <v>103</v>
      </c>
      <c r="T50" s="93" t="s">
        <v>179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Sprint">
                <anchor moveWithCells="1" sizeWithCells="1">
                  <from>
                    <xdr:col>1</xdr:col>
                    <xdr:colOff>390525</xdr:colOff>
                    <xdr:row>1</xdr:row>
                    <xdr:rowOff>19050</xdr:rowOff>
                  </from>
                  <to>
                    <xdr:col>1</xdr:col>
                    <xdr:colOff>1381125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removeSprint">
                <anchor moveWithCells="1" sizeWithCells="1">
                  <from>
                    <xdr:col>1</xdr:col>
                    <xdr:colOff>1685925</xdr:colOff>
                    <xdr:row>1</xdr:row>
                    <xdr:rowOff>9525</xdr:rowOff>
                  </from>
                  <to>
                    <xdr:col>1</xdr:col>
                    <xdr:colOff>2619375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opyIssues">
                <anchor moveWithCells="1" sizeWithCells="1">
                  <from>
                    <xdr:col>2</xdr:col>
                    <xdr:colOff>257175</xdr:colOff>
                    <xdr:row>0</xdr:row>
                    <xdr:rowOff>180975</xdr:rowOff>
                  </from>
                  <to>
                    <xdr:col>3</xdr:col>
                    <xdr:colOff>428625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3ACE2-57E9-4BF1-BFDA-14E966AF77B6}">
  <sheetPr codeName="Tabelle8"/>
  <dimension ref="A1:U38"/>
  <sheetViews>
    <sheetView workbookViewId="0">
      <selection activeCell="S14" sqref="S14:U14"/>
    </sheetView>
  </sheetViews>
  <sheetFormatPr baseColWidth="10" defaultRowHeight="15" x14ac:dyDescent="0.25"/>
  <cols>
    <col min="1" max="1" width="14.42578125" customWidth="1"/>
    <col min="2" max="3" width="11.42578125" customWidth="1"/>
    <col min="11" max="11" width="12.42578125" customWidth="1"/>
  </cols>
  <sheetData>
    <row r="1" spans="1:21" ht="24" thickBot="1" x14ac:dyDescent="0.4">
      <c r="A1" s="45" t="s">
        <v>76</v>
      </c>
      <c r="B1" s="2"/>
    </row>
    <row r="2" spans="1:21" x14ac:dyDescent="0.25">
      <c r="A2" s="64" t="s">
        <v>37</v>
      </c>
      <c r="B2" s="65"/>
      <c r="C2" s="66"/>
      <c r="D2" s="71" t="s">
        <v>1</v>
      </c>
      <c r="E2" s="72"/>
      <c r="F2" s="73"/>
      <c r="G2" s="71" t="s">
        <v>2</v>
      </c>
      <c r="H2" s="75"/>
      <c r="I2" s="73"/>
      <c r="J2" s="71" t="s">
        <v>3</v>
      </c>
      <c r="K2" s="75"/>
      <c r="L2" s="73"/>
      <c r="M2" s="71" t="s">
        <v>4</v>
      </c>
      <c r="N2" s="75"/>
      <c r="O2" s="73"/>
      <c r="P2" s="71" t="s">
        <v>5</v>
      </c>
      <c r="Q2" s="75"/>
      <c r="R2" s="73"/>
      <c r="S2" s="71" t="s">
        <v>6</v>
      </c>
      <c r="T2" s="75"/>
      <c r="U2" s="73"/>
    </row>
    <row r="3" spans="1:21" x14ac:dyDescent="0.25">
      <c r="A3" s="67" t="s">
        <v>77</v>
      </c>
      <c r="B3" s="48" t="s">
        <v>60</v>
      </c>
      <c r="C3" s="62" t="s">
        <v>78</v>
      </c>
      <c r="D3" s="74" t="s">
        <v>77</v>
      </c>
      <c r="E3" s="48" t="s">
        <v>60</v>
      </c>
      <c r="F3" s="63" t="s">
        <v>78</v>
      </c>
      <c r="G3" s="76" t="s">
        <v>77</v>
      </c>
      <c r="H3" s="59" t="s">
        <v>60</v>
      </c>
      <c r="I3" s="77" t="s">
        <v>78</v>
      </c>
      <c r="J3" s="76" t="s">
        <v>77</v>
      </c>
      <c r="K3" s="59" t="s">
        <v>60</v>
      </c>
      <c r="L3" s="77" t="s">
        <v>78</v>
      </c>
      <c r="M3" s="76" t="s">
        <v>77</v>
      </c>
      <c r="N3" s="59" t="s">
        <v>60</v>
      </c>
      <c r="O3" s="77" t="s">
        <v>78</v>
      </c>
      <c r="P3" s="76" t="s">
        <v>77</v>
      </c>
      <c r="Q3" s="59" t="s">
        <v>60</v>
      </c>
      <c r="R3" s="77" t="s">
        <v>78</v>
      </c>
      <c r="S3" s="76" t="s">
        <v>77</v>
      </c>
      <c r="T3" s="59" t="s">
        <v>60</v>
      </c>
      <c r="U3" s="77" t="s">
        <v>78</v>
      </c>
    </row>
    <row r="4" spans="1:21" x14ac:dyDescent="0.25">
      <c r="A4" s="68">
        <v>42482</v>
      </c>
      <c r="B4" s="49">
        <v>7.6388888888888895E-2</v>
      </c>
      <c r="C4" s="78" t="s">
        <v>79</v>
      </c>
      <c r="D4" s="68">
        <v>42493</v>
      </c>
      <c r="E4" s="49">
        <v>4.1666666666666664E-2</v>
      </c>
      <c r="F4" s="78" t="s">
        <v>79</v>
      </c>
      <c r="G4" s="68">
        <v>42500</v>
      </c>
      <c r="H4" s="49">
        <v>6.9444444444444434E-2</v>
      </c>
      <c r="I4" s="78" t="s">
        <v>79</v>
      </c>
      <c r="J4" s="82">
        <v>42507</v>
      </c>
      <c r="K4" s="83">
        <v>3.4722222222222224E-2</v>
      </c>
      <c r="L4" s="79" t="s">
        <v>79</v>
      </c>
      <c r="M4" s="68">
        <v>42514</v>
      </c>
      <c r="N4" s="49">
        <v>3.125E-2</v>
      </c>
      <c r="O4" s="78" t="s">
        <v>79</v>
      </c>
      <c r="P4" s="82">
        <v>42521</v>
      </c>
      <c r="Q4" s="56">
        <v>3.125E-2</v>
      </c>
      <c r="R4" s="84" t="s">
        <v>79</v>
      </c>
      <c r="S4" s="68">
        <v>42528</v>
      </c>
      <c r="T4" s="49">
        <v>3.125E-2</v>
      </c>
      <c r="U4" s="78" t="s">
        <v>83</v>
      </c>
    </row>
    <row r="5" spans="1:21" x14ac:dyDescent="0.25">
      <c r="A5" s="68">
        <v>42486</v>
      </c>
      <c r="B5" s="49">
        <v>4.8611111111111112E-2</v>
      </c>
      <c r="C5" s="78" t="s">
        <v>79</v>
      </c>
      <c r="D5" s="68">
        <v>42496</v>
      </c>
      <c r="E5" s="49">
        <v>4.1666666666666664E-2</v>
      </c>
      <c r="F5" s="78" t="s">
        <v>80</v>
      </c>
      <c r="G5" s="68">
        <v>42503</v>
      </c>
      <c r="H5" s="49">
        <v>3.6111111111111115E-2</v>
      </c>
      <c r="I5" s="78" t="s">
        <v>82</v>
      </c>
      <c r="J5" s="1">
        <v>42508</v>
      </c>
      <c r="K5" s="56">
        <v>5.2083333333333336E-2</v>
      </c>
      <c r="L5" s="79" t="s">
        <v>97</v>
      </c>
      <c r="M5" s="68">
        <v>42517</v>
      </c>
      <c r="N5" s="49">
        <v>2.0833333333333332E-2</v>
      </c>
      <c r="O5" s="78" t="s">
        <v>238</v>
      </c>
      <c r="P5" s="82">
        <v>42521</v>
      </c>
      <c r="Q5" s="56">
        <v>2.7777777777777776E-2</v>
      </c>
      <c r="R5" s="84" t="s">
        <v>267</v>
      </c>
      <c r="S5" s="68">
        <v>42532</v>
      </c>
      <c r="T5" s="49">
        <v>4.5138888888888888E-2</v>
      </c>
      <c r="U5" s="78" t="s">
        <v>83</v>
      </c>
    </row>
    <row r="6" spans="1:21" x14ac:dyDescent="0.25">
      <c r="A6" s="68">
        <v>42487</v>
      </c>
      <c r="B6" s="49">
        <v>4.8611111111111112E-2</v>
      </c>
      <c r="C6" s="78" t="s">
        <v>79</v>
      </c>
      <c r="D6" s="68">
        <v>42496</v>
      </c>
      <c r="E6" s="49">
        <v>2.7777777777777776E-2</v>
      </c>
      <c r="F6" s="78" t="s">
        <v>79</v>
      </c>
      <c r="G6" s="68">
        <v>42503</v>
      </c>
      <c r="H6" s="49">
        <v>3.4722222222222224E-2</v>
      </c>
      <c r="I6" s="78" t="s">
        <v>83</v>
      </c>
      <c r="J6" s="82">
        <v>42508</v>
      </c>
      <c r="K6" s="83">
        <v>2.0833333333333332E-2</v>
      </c>
      <c r="L6" s="79" t="s">
        <v>98</v>
      </c>
      <c r="M6" s="68">
        <v>42517</v>
      </c>
      <c r="N6" s="49">
        <v>2.9166666666666664E-2</v>
      </c>
      <c r="O6" s="78" t="s">
        <v>83</v>
      </c>
      <c r="P6" s="82">
        <v>42522</v>
      </c>
      <c r="Q6" s="56">
        <v>4.1666666666666664E-2</v>
      </c>
      <c r="R6" s="84" t="s">
        <v>268</v>
      </c>
      <c r="S6" s="68">
        <v>42535</v>
      </c>
      <c r="T6" s="49">
        <v>4.1666666666666664E-2</v>
      </c>
      <c r="U6" s="78" t="s">
        <v>312</v>
      </c>
    </row>
    <row r="7" spans="1:21" x14ac:dyDescent="0.25">
      <c r="A7" s="68">
        <v>42489</v>
      </c>
      <c r="B7" s="49">
        <v>7.6388888888888895E-2</v>
      </c>
      <c r="C7" s="78" t="s">
        <v>79</v>
      </c>
      <c r="D7" s="70"/>
      <c r="E7" s="49"/>
      <c r="F7" s="78"/>
      <c r="G7" s="70"/>
      <c r="H7" s="51"/>
      <c r="I7" s="78"/>
      <c r="J7" s="82">
        <v>42508</v>
      </c>
      <c r="K7" s="83">
        <v>1.0416666666666666E-2</v>
      </c>
      <c r="L7" s="84" t="s">
        <v>99</v>
      </c>
      <c r="M7" s="70"/>
      <c r="N7" s="51"/>
      <c r="O7" s="78"/>
      <c r="P7" s="1">
        <v>42524</v>
      </c>
      <c r="Q7" s="56">
        <v>2.7777777777777776E-2</v>
      </c>
      <c r="R7" s="98" t="s">
        <v>270</v>
      </c>
      <c r="S7" s="68"/>
      <c r="T7" s="49"/>
      <c r="U7" s="78"/>
    </row>
    <row r="8" spans="1:21" x14ac:dyDescent="0.25">
      <c r="A8" s="68">
        <v>42491</v>
      </c>
      <c r="B8" s="49">
        <v>4.1666666666666664E-2</v>
      </c>
      <c r="C8" s="78" t="s">
        <v>79</v>
      </c>
      <c r="D8" s="70"/>
      <c r="E8" s="51"/>
      <c r="F8" s="78"/>
      <c r="G8" s="70"/>
      <c r="H8" s="51"/>
      <c r="I8" s="78"/>
      <c r="J8" s="82">
        <v>42511</v>
      </c>
      <c r="K8" s="83">
        <v>2.0833333333333332E-2</v>
      </c>
      <c r="L8" s="79" t="s">
        <v>84</v>
      </c>
      <c r="M8" s="70"/>
      <c r="N8" s="51"/>
      <c r="O8" s="78"/>
      <c r="P8" s="68">
        <v>42524</v>
      </c>
      <c r="Q8" s="49">
        <v>1.3888888888888888E-2</v>
      </c>
      <c r="R8" s="78" t="s">
        <v>269</v>
      </c>
      <c r="S8" s="70"/>
      <c r="T8" s="51"/>
      <c r="U8" s="78"/>
    </row>
    <row r="9" spans="1:21" x14ac:dyDescent="0.25">
      <c r="A9" s="69"/>
      <c r="B9" s="60"/>
      <c r="C9" s="78"/>
      <c r="D9" s="70"/>
      <c r="E9" s="51"/>
      <c r="F9" s="78"/>
      <c r="G9" s="70"/>
      <c r="H9" s="51"/>
      <c r="I9" s="78"/>
      <c r="J9" s="70"/>
      <c r="K9" s="80"/>
      <c r="L9" s="78"/>
      <c r="M9" s="70"/>
      <c r="N9" s="51"/>
      <c r="O9" s="78"/>
      <c r="P9" s="82">
        <v>42526</v>
      </c>
      <c r="Q9" s="56">
        <v>4.1666666666666664E-2</v>
      </c>
      <c r="R9" s="84" t="s">
        <v>83</v>
      </c>
      <c r="S9" s="70"/>
      <c r="T9" s="51"/>
      <c r="U9" s="78"/>
    </row>
    <row r="10" spans="1:21" x14ac:dyDescent="0.25">
      <c r="A10" s="69"/>
      <c r="B10" s="60"/>
      <c r="C10" s="78"/>
      <c r="D10" s="70"/>
      <c r="E10" s="51"/>
      <c r="F10" s="78"/>
      <c r="G10" s="70"/>
      <c r="H10" s="51"/>
      <c r="I10" s="78"/>
      <c r="J10" s="70"/>
      <c r="K10" s="80"/>
      <c r="L10" s="78"/>
      <c r="M10" s="70"/>
      <c r="N10" s="51"/>
      <c r="O10" s="78"/>
      <c r="P10" s="70"/>
      <c r="Q10" s="51"/>
      <c r="R10" s="78"/>
      <c r="S10" s="70"/>
      <c r="T10" s="51"/>
      <c r="U10" s="78"/>
    </row>
    <row r="11" spans="1:21" ht="15.75" thickBot="1" x14ac:dyDescent="0.3">
      <c r="A11" s="69"/>
      <c r="B11" s="60"/>
      <c r="C11" s="78"/>
      <c r="D11" s="70"/>
      <c r="E11" s="51"/>
      <c r="F11" s="78"/>
      <c r="G11" s="70"/>
      <c r="H11" s="51"/>
      <c r="I11" s="78"/>
      <c r="J11" s="70"/>
      <c r="K11" s="80"/>
      <c r="L11" s="78"/>
      <c r="M11" s="70"/>
      <c r="N11" s="51"/>
      <c r="O11" s="78"/>
      <c r="P11" s="70"/>
      <c r="Q11" s="51"/>
      <c r="R11" s="78"/>
      <c r="S11" s="70"/>
      <c r="T11" s="51"/>
      <c r="U11" s="78"/>
    </row>
    <row r="12" spans="1:21" x14ac:dyDescent="0.25">
      <c r="A12" s="71" t="s">
        <v>28</v>
      </c>
      <c r="B12" s="75"/>
      <c r="C12" s="73"/>
      <c r="D12" s="71" t="s">
        <v>29</v>
      </c>
      <c r="E12" s="75"/>
      <c r="F12" s="73"/>
      <c r="G12" s="71" t="s">
        <v>30</v>
      </c>
      <c r="H12" s="75"/>
      <c r="I12" s="73"/>
      <c r="J12" s="71" t="s">
        <v>31</v>
      </c>
      <c r="K12" s="75"/>
      <c r="L12" s="73"/>
      <c r="M12" s="71" t="s">
        <v>32</v>
      </c>
      <c r="N12" s="75"/>
      <c r="O12" s="73"/>
      <c r="P12" s="71" t="s">
        <v>33</v>
      </c>
      <c r="Q12" s="75"/>
      <c r="R12" s="73"/>
      <c r="S12" s="71" t="s">
        <v>34</v>
      </c>
      <c r="T12" s="75"/>
      <c r="U12" s="73"/>
    </row>
    <row r="13" spans="1:21" x14ac:dyDescent="0.25">
      <c r="A13" s="76" t="s">
        <v>77</v>
      </c>
      <c r="B13" s="59" t="s">
        <v>60</v>
      </c>
      <c r="C13" s="77" t="s">
        <v>78</v>
      </c>
      <c r="D13" s="76" t="s">
        <v>77</v>
      </c>
      <c r="E13" s="59" t="s">
        <v>60</v>
      </c>
      <c r="F13" s="77" t="s">
        <v>78</v>
      </c>
      <c r="G13" s="76" t="s">
        <v>77</v>
      </c>
      <c r="H13" s="59" t="s">
        <v>60</v>
      </c>
      <c r="I13" s="77" t="s">
        <v>78</v>
      </c>
      <c r="J13" s="76" t="s">
        <v>77</v>
      </c>
      <c r="K13" s="59" t="s">
        <v>60</v>
      </c>
      <c r="L13" s="77" t="s">
        <v>78</v>
      </c>
      <c r="M13" s="76" t="s">
        <v>77</v>
      </c>
      <c r="N13" s="59" t="s">
        <v>60</v>
      </c>
      <c r="O13" s="77" t="s">
        <v>78</v>
      </c>
      <c r="P13" s="76" t="s">
        <v>77</v>
      </c>
      <c r="Q13" s="59" t="s">
        <v>60</v>
      </c>
      <c r="R13" s="77" t="s">
        <v>78</v>
      </c>
      <c r="S13" s="76" t="s">
        <v>77</v>
      </c>
      <c r="T13" s="59" t="s">
        <v>60</v>
      </c>
      <c r="U13" s="77" t="s">
        <v>78</v>
      </c>
    </row>
    <row r="14" spans="1:21" x14ac:dyDescent="0.25">
      <c r="A14" s="68">
        <v>42535</v>
      </c>
      <c r="B14" s="49">
        <v>3.4722222222222224E-2</v>
      </c>
      <c r="C14" s="78" t="s">
        <v>83</v>
      </c>
      <c r="D14" s="68">
        <v>42542</v>
      </c>
      <c r="E14" s="49">
        <v>2.0833333333333332E-2</v>
      </c>
      <c r="F14" s="78" t="s">
        <v>83</v>
      </c>
      <c r="G14" s="68">
        <v>42549</v>
      </c>
      <c r="H14" s="49">
        <v>2.7777777777777776E-2</v>
      </c>
      <c r="I14" s="78" t="s">
        <v>83</v>
      </c>
      <c r="J14" s="68">
        <v>42535</v>
      </c>
      <c r="K14" s="49">
        <v>3.4722222222222224E-2</v>
      </c>
      <c r="L14" s="78" t="s">
        <v>83</v>
      </c>
      <c r="M14" s="68">
        <v>42535</v>
      </c>
      <c r="N14" s="49">
        <v>3.4722222222222224E-2</v>
      </c>
      <c r="O14" s="78" t="s">
        <v>83</v>
      </c>
      <c r="P14" s="68">
        <v>42535</v>
      </c>
      <c r="Q14" s="49">
        <v>3.4722222222222224E-2</v>
      </c>
      <c r="R14" s="78" t="s">
        <v>83</v>
      </c>
      <c r="S14" s="68">
        <v>42535</v>
      </c>
      <c r="T14" s="49">
        <v>3.4722222222222224E-2</v>
      </c>
      <c r="U14" s="78" t="s">
        <v>83</v>
      </c>
    </row>
    <row r="15" spans="1:21" x14ac:dyDescent="0.25">
      <c r="A15" s="68">
        <v>42536</v>
      </c>
      <c r="B15" s="49">
        <v>8.3333333333333329E-2</v>
      </c>
      <c r="C15" s="78" t="s">
        <v>83</v>
      </c>
      <c r="D15" s="68">
        <v>42545</v>
      </c>
      <c r="E15" s="49">
        <v>8.3333333333333329E-2</v>
      </c>
      <c r="F15" s="78" t="s">
        <v>83</v>
      </c>
      <c r="G15" s="70"/>
      <c r="H15" s="51"/>
      <c r="I15" s="78"/>
      <c r="J15" s="70"/>
      <c r="K15" s="51"/>
      <c r="L15" s="78"/>
      <c r="M15" s="70"/>
      <c r="N15" s="51"/>
      <c r="O15" s="78"/>
      <c r="P15" s="70"/>
      <c r="Q15" s="51"/>
      <c r="R15" s="78"/>
      <c r="S15" s="70"/>
      <c r="T15" s="51"/>
      <c r="U15" s="78"/>
    </row>
    <row r="16" spans="1:21" x14ac:dyDescent="0.25">
      <c r="A16" s="68">
        <v>42538</v>
      </c>
      <c r="B16" s="49">
        <v>8.3333333333333329E-2</v>
      </c>
      <c r="C16" s="78" t="s">
        <v>83</v>
      </c>
      <c r="D16" s="70"/>
      <c r="E16" s="51"/>
      <c r="F16" s="78"/>
      <c r="G16" s="70"/>
      <c r="H16" s="51"/>
      <c r="I16" s="78"/>
      <c r="J16" s="70"/>
      <c r="K16" s="51"/>
      <c r="L16" s="78"/>
      <c r="M16" s="70"/>
      <c r="N16" s="51"/>
      <c r="O16" s="78"/>
      <c r="P16" s="70"/>
      <c r="Q16" s="51"/>
      <c r="R16" s="78"/>
      <c r="S16" s="70"/>
      <c r="T16" s="51"/>
      <c r="U16" s="78"/>
    </row>
    <row r="17" spans="1:21" x14ac:dyDescent="0.25">
      <c r="A17" s="68">
        <v>42542</v>
      </c>
      <c r="B17" s="49">
        <v>3.125E-2</v>
      </c>
      <c r="C17" s="78" t="s">
        <v>348</v>
      </c>
      <c r="D17" s="70"/>
      <c r="E17" s="51"/>
      <c r="F17" s="78"/>
      <c r="G17" s="70"/>
      <c r="H17" s="51"/>
      <c r="I17" s="78"/>
      <c r="J17" s="70"/>
      <c r="K17" s="51"/>
      <c r="L17" s="78"/>
      <c r="M17" s="70"/>
      <c r="N17" s="51"/>
      <c r="O17" s="78"/>
      <c r="P17" s="70"/>
      <c r="Q17" s="51"/>
      <c r="R17" s="78"/>
      <c r="S17" s="70"/>
      <c r="T17" s="51"/>
      <c r="U17" s="78"/>
    </row>
    <row r="18" spans="1:21" x14ac:dyDescent="0.25">
      <c r="A18" s="70"/>
      <c r="B18" s="51"/>
      <c r="C18" s="78"/>
      <c r="D18" s="70"/>
      <c r="E18" s="51"/>
      <c r="F18" s="78"/>
      <c r="G18" s="70"/>
      <c r="H18" s="51"/>
      <c r="I18" s="78"/>
      <c r="J18" s="70"/>
      <c r="K18" s="51"/>
      <c r="L18" s="78"/>
      <c r="M18" s="70"/>
      <c r="N18" s="51"/>
      <c r="O18" s="78"/>
      <c r="P18" s="70"/>
      <c r="Q18" s="51"/>
      <c r="R18" s="78"/>
      <c r="S18" s="70"/>
      <c r="T18" s="51"/>
      <c r="U18" s="78"/>
    </row>
    <row r="19" spans="1:21" x14ac:dyDescent="0.25">
      <c r="A19" s="70"/>
      <c r="B19" s="51"/>
      <c r="C19" s="78"/>
      <c r="D19" s="70"/>
      <c r="E19" s="51"/>
      <c r="F19" s="78"/>
      <c r="G19" s="70"/>
      <c r="H19" s="51"/>
      <c r="I19" s="78"/>
      <c r="J19" s="70"/>
      <c r="K19" s="51"/>
      <c r="L19" s="78"/>
      <c r="M19" s="70"/>
      <c r="N19" s="51"/>
      <c r="O19" s="78"/>
      <c r="P19" s="70"/>
      <c r="Q19" s="51"/>
      <c r="R19" s="78"/>
      <c r="S19" s="70"/>
      <c r="T19" s="51"/>
      <c r="U19" s="78"/>
    </row>
    <row r="20" spans="1:21" x14ac:dyDescent="0.25">
      <c r="A20" s="70"/>
      <c r="B20" s="51"/>
      <c r="C20" s="78"/>
      <c r="D20" s="70"/>
      <c r="E20" s="51"/>
      <c r="F20" s="78"/>
      <c r="G20" s="70"/>
      <c r="H20" s="51"/>
      <c r="I20" s="78"/>
      <c r="J20" s="70"/>
      <c r="K20" s="51"/>
      <c r="L20" s="78"/>
      <c r="M20" s="70"/>
      <c r="N20" s="51"/>
      <c r="O20" s="78"/>
      <c r="P20" s="70"/>
      <c r="Q20" s="51"/>
      <c r="R20" s="78"/>
      <c r="S20" s="70"/>
      <c r="T20" s="51"/>
      <c r="U20" s="78"/>
    </row>
    <row r="21" spans="1:21" ht="15.75" thickBot="1" x14ac:dyDescent="0.3">
      <c r="A21" s="70"/>
      <c r="B21" s="51"/>
      <c r="C21" s="78"/>
      <c r="D21" s="70"/>
      <c r="E21" s="51"/>
      <c r="F21" s="78"/>
      <c r="G21" s="70"/>
      <c r="H21" s="51"/>
      <c r="I21" s="78"/>
      <c r="J21" s="70"/>
      <c r="K21" s="51"/>
      <c r="L21" s="78"/>
      <c r="M21" s="70"/>
      <c r="N21" s="51"/>
      <c r="O21" s="78"/>
      <c r="P21" s="70"/>
      <c r="Q21" s="51"/>
      <c r="R21" s="78"/>
      <c r="S21" s="70"/>
      <c r="T21" s="51"/>
      <c r="U21" s="78"/>
    </row>
    <row r="22" spans="1:21" x14ac:dyDescent="0.25">
      <c r="A22" s="71" t="s">
        <v>392</v>
      </c>
      <c r="B22" s="75"/>
      <c r="C22" s="73"/>
      <c r="D22" s="71" t="s">
        <v>393</v>
      </c>
      <c r="E22" s="75"/>
      <c r="F22" s="73"/>
      <c r="G22" s="71" t="s">
        <v>394</v>
      </c>
      <c r="H22" s="75"/>
      <c r="I22" s="73"/>
    </row>
    <row r="23" spans="1:21" x14ac:dyDescent="0.25">
      <c r="A23" s="76" t="s">
        <v>77</v>
      </c>
      <c r="B23" s="59" t="s">
        <v>60</v>
      </c>
      <c r="C23" s="77" t="s">
        <v>78</v>
      </c>
      <c r="D23" s="76" t="s">
        <v>77</v>
      </c>
      <c r="E23" s="59" t="s">
        <v>60</v>
      </c>
      <c r="F23" s="77" t="s">
        <v>78</v>
      </c>
      <c r="G23" s="76" t="s">
        <v>77</v>
      </c>
      <c r="H23" s="59" t="s">
        <v>60</v>
      </c>
      <c r="I23" s="77" t="s">
        <v>78</v>
      </c>
    </row>
    <row r="24" spans="1:21" x14ac:dyDescent="0.25">
      <c r="A24" s="68">
        <v>42535</v>
      </c>
      <c r="B24" s="49">
        <v>3.4722222222222224E-2</v>
      </c>
      <c r="C24" s="78" t="s">
        <v>83</v>
      </c>
      <c r="D24" s="68">
        <v>42535</v>
      </c>
      <c r="E24" s="49">
        <v>3.4722222222222224E-2</v>
      </c>
      <c r="F24" s="78" t="s">
        <v>83</v>
      </c>
      <c r="G24" s="68">
        <v>42535</v>
      </c>
      <c r="H24" s="49">
        <v>3.4722222222222224E-2</v>
      </c>
      <c r="I24" s="78" t="s">
        <v>83</v>
      </c>
    </row>
    <row r="25" spans="1:21" x14ac:dyDescent="0.25">
      <c r="A25" s="70"/>
      <c r="B25" s="51"/>
      <c r="C25" s="78"/>
      <c r="D25" s="70"/>
      <c r="E25" s="51"/>
      <c r="F25" s="78"/>
      <c r="G25" s="70"/>
      <c r="H25" s="51"/>
      <c r="I25" s="78"/>
    </row>
    <row r="26" spans="1:21" x14ac:dyDescent="0.25">
      <c r="A26" s="70"/>
      <c r="B26" s="51"/>
      <c r="C26" s="78"/>
      <c r="D26" s="70"/>
      <c r="E26" s="51"/>
      <c r="F26" s="78"/>
      <c r="G26" s="70"/>
      <c r="H26" s="51"/>
      <c r="I26" s="78"/>
    </row>
    <row r="27" spans="1:21" x14ac:dyDescent="0.25">
      <c r="A27" s="70"/>
      <c r="B27" s="51"/>
      <c r="C27" s="78"/>
      <c r="D27" s="70"/>
      <c r="E27" s="51"/>
      <c r="F27" s="78"/>
      <c r="G27" s="70"/>
      <c r="H27" s="51"/>
      <c r="I27" s="78"/>
    </row>
    <row r="28" spans="1:21" x14ac:dyDescent="0.25">
      <c r="A28" s="70"/>
      <c r="B28" s="51"/>
      <c r="C28" s="78"/>
      <c r="D28" s="70"/>
      <c r="E28" s="51"/>
      <c r="F28" s="78"/>
      <c r="G28" s="70"/>
      <c r="H28" s="51"/>
      <c r="I28" s="78"/>
    </row>
    <row r="29" spans="1:21" x14ac:dyDescent="0.25">
      <c r="A29" s="70"/>
      <c r="B29" s="51"/>
      <c r="C29" s="78"/>
      <c r="D29" s="70"/>
      <c r="E29" s="51"/>
      <c r="F29" s="78"/>
      <c r="G29" s="70"/>
      <c r="H29" s="51"/>
      <c r="I29" s="78"/>
    </row>
    <row r="30" spans="1:21" x14ac:dyDescent="0.25">
      <c r="A30" s="70"/>
      <c r="B30" s="51"/>
      <c r="C30" s="78"/>
      <c r="D30" s="70"/>
      <c r="E30" s="51"/>
      <c r="F30" s="78"/>
      <c r="G30" s="70"/>
      <c r="H30" s="51"/>
      <c r="I30" s="78"/>
    </row>
    <row r="31" spans="1:21" x14ac:dyDescent="0.25">
      <c r="A31" s="70"/>
      <c r="B31" s="51"/>
      <c r="C31" s="78"/>
      <c r="D31" s="70"/>
      <c r="E31" s="51"/>
      <c r="F31" s="78"/>
      <c r="G31" s="70"/>
      <c r="H31" s="51"/>
      <c r="I31" s="78"/>
    </row>
    <row r="38" spans="15:15" x14ac:dyDescent="0.25">
      <c r="O38" s="61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BA869-76FA-4D5C-AE41-A8C4718538CB}">
  <sheetPr codeName="Tabelle2"/>
  <dimension ref="A1:AB39"/>
  <sheetViews>
    <sheetView topLeftCell="A5" zoomScaleNormal="100" workbookViewId="0">
      <selection activeCell="G36" sqref="G36:G37"/>
    </sheetView>
  </sheetViews>
  <sheetFormatPr baseColWidth="10" defaultRowHeight="15" x14ac:dyDescent="0.25"/>
  <cols>
    <col min="3" max="3" width="17.42578125" customWidth="1"/>
    <col min="6" max="6" width="12" customWidth="1"/>
    <col min="7" max="7" width="12.5703125" customWidth="1"/>
    <col min="11" max="11" width="48.85546875" customWidth="1"/>
    <col min="13" max="13" width="44" customWidth="1"/>
  </cols>
  <sheetData>
    <row r="1" spans="1:28" ht="26.25" x14ac:dyDescent="0.4">
      <c r="A1" s="189" t="s">
        <v>49</v>
      </c>
      <c r="B1" s="189"/>
      <c r="C1" s="189"/>
      <c r="K1" s="50" t="s">
        <v>56</v>
      </c>
      <c r="L1" s="2"/>
    </row>
    <row r="3" spans="1:28" x14ac:dyDescent="0.25">
      <c r="B3" s="20"/>
      <c r="C3" s="17" t="s">
        <v>57</v>
      </c>
      <c r="D3" s="17" t="s">
        <v>45</v>
      </c>
      <c r="E3" s="17" t="s">
        <v>58</v>
      </c>
      <c r="F3" s="42" t="s">
        <v>46</v>
      </c>
      <c r="G3" s="44" t="s">
        <v>55</v>
      </c>
      <c r="H3" s="43" t="s">
        <v>47</v>
      </c>
      <c r="I3" s="23" t="s">
        <v>43</v>
      </c>
      <c r="K3" s="57" t="s">
        <v>29</v>
      </c>
      <c r="L3" s="57"/>
      <c r="M3" s="57" t="s">
        <v>28</v>
      </c>
      <c r="N3" s="57"/>
      <c r="O3" s="57" t="s">
        <v>6</v>
      </c>
      <c r="P3" s="57"/>
      <c r="Q3" s="57" t="s">
        <v>5</v>
      </c>
      <c r="R3" s="57"/>
      <c r="S3" s="57" t="s">
        <v>4</v>
      </c>
      <c r="T3" s="57"/>
      <c r="U3" s="57" t="s">
        <v>3</v>
      </c>
      <c r="V3" s="57"/>
      <c r="W3" s="57" t="s">
        <v>2</v>
      </c>
      <c r="X3" s="57"/>
      <c r="Y3" s="57" t="s">
        <v>1</v>
      </c>
      <c r="Z3" s="57"/>
      <c r="AA3" s="54" t="s">
        <v>37</v>
      </c>
      <c r="AB3" s="54"/>
    </row>
    <row r="4" spans="1:28" x14ac:dyDescent="0.25">
      <c r="B4" s="200" t="s">
        <v>37</v>
      </c>
      <c r="C4" s="187">
        <f>SUMIF(AA:AA,"*[Implementierung]*",AB:AB)</f>
        <v>0</v>
      </c>
      <c r="D4" s="187">
        <f>SUMIF(AA:AA,"*[Testen]*",AB:AB)</f>
        <v>0</v>
      </c>
      <c r="E4" s="187">
        <f>SUMIF(AA:AA,"*[Entwurf]*",AB:AB)</f>
        <v>0</v>
      </c>
      <c r="F4" s="187">
        <f>SUMIF(AA:AA,"*[Recherche]*",AB:AB)</f>
        <v>8.3333333333333329E-2</v>
      </c>
      <c r="G4" s="187">
        <f>SUMIF(AA:AA,"*[Organisation]*",AB:AB)</f>
        <v>0.29166666666666663</v>
      </c>
      <c r="H4" s="187">
        <f>SUMIF(Meetings!C4:C11,"*Pellekoorne*",Meetings!B4:B11)</f>
        <v>0.29166666666666669</v>
      </c>
      <c r="I4" s="192">
        <f>SUM(C4:H5)</f>
        <v>0.66666666666666663</v>
      </c>
      <c r="K4" s="55" t="s">
        <v>59</v>
      </c>
      <c r="L4" s="53" t="s">
        <v>60</v>
      </c>
      <c r="M4" s="55" t="s">
        <v>59</v>
      </c>
      <c r="N4" s="53" t="s">
        <v>60</v>
      </c>
      <c r="O4" s="55" t="s">
        <v>59</v>
      </c>
      <c r="P4" s="53" t="s">
        <v>60</v>
      </c>
      <c r="Q4" s="55" t="s">
        <v>59</v>
      </c>
      <c r="R4" s="53" t="s">
        <v>60</v>
      </c>
      <c r="S4" s="55" t="s">
        <v>59</v>
      </c>
      <c r="T4" s="53" t="s">
        <v>60</v>
      </c>
      <c r="U4" s="55" t="s">
        <v>59</v>
      </c>
      <c r="V4" s="53" t="s">
        <v>60</v>
      </c>
      <c r="W4" s="55" t="s">
        <v>59</v>
      </c>
      <c r="X4" s="53" t="s">
        <v>60</v>
      </c>
      <c r="Y4" s="55" t="s">
        <v>59</v>
      </c>
      <c r="Z4" s="53" t="s">
        <v>60</v>
      </c>
      <c r="AA4" s="55" t="s">
        <v>59</v>
      </c>
      <c r="AB4" s="53" t="s">
        <v>60</v>
      </c>
    </row>
    <row r="5" spans="1:28" x14ac:dyDescent="0.25">
      <c r="B5" s="201"/>
      <c r="C5" s="187"/>
      <c r="D5" s="187"/>
      <c r="E5" s="187"/>
      <c r="F5" s="187"/>
      <c r="G5" s="187"/>
      <c r="H5" s="187"/>
      <c r="I5" s="192"/>
      <c r="K5" t="s">
        <v>355</v>
      </c>
      <c r="L5" s="81">
        <v>2.7777777777777776E-2</v>
      </c>
      <c r="M5" t="s">
        <v>311</v>
      </c>
      <c r="N5" s="81">
        <v>3.4722222222222224E-2</v>
      </c>
      <c r="O5" t="s">
        <v>305</v>
      </c>
      <c r="P5" s="81">
        <v>0.11805555555555557</v>
      </c>
      <c r="Q5" t="s">
        <v>259</v>
      </c>
      <c r="R5" s="81">
        <v>2.0833333333333332E-2</v>
      </c>
      <c r="S5" t="s">
        <v>92</v>
      </c>
      <c r="T5" s="81">
        <v>4.1666666666666664E-2</v>
      </c>
      <c r="U5" t="s">
        <v>198</v>
      </c>
      <c r="V5" s="81">
        <v>0.13194444444444445</v>
      </c>
      <c r="W5" t="s">
        <v>139</v>
      </c>
      <c r="X5" s="81">
        <v>0.13194444444444445</v>
      </c>
      <c r="Y5" t="s">
        <v>87</v>
      </c>
      <c r="Z5" s="81">
        <v>1.7361111111111112E-2</v>
      </c>
      <c r="AA5" s="2" t="s">
        <v>61</v>
      </c>
      <c r="AB5" s="85">
        <v>8.3333333333333329E-2</v>
      </c>
    </row>
    <row r="6" spans="1:28" x14ac:dyDescent="0.25">
      <c r="B6" s="195" t="s">
        <v>1</v>
      </c>
      <c r="C6" s="194">
        <f>SUMIF(Y:Y,"*[Implementierung]*",Z:Z)</f>
        <v>0</v>
      </c>
      <c r="D6" s="194">
        <f>SUMIF(Y:Y,"*[Testen]*",Z:Z)</f>
        <v>0</v>
      </c>
      <c r="E6" s="194">
        <f>SUMIF(Y:Y,"*[Entwurf]*",Z:Z)</f>
        <v>6.25E-2</v>
      </c>
      <c r="F6" s="194">
        <f>SUMIF(Y:Y,"*[Recherche]*",Z:Z)</f>
        <v>0</v>
      </c>
      <c r="G6" s="194">
        <f>SUMIF(Y:Y,"*[Organisation]*",Z:Z)</f>
        <v>0.69097222222222221</v>
      </c>
      <c r="H6" s="194">
        <f>SUMIF(Meetings!F4:F11,"*Pellekoorne*",Meetings!E4:E11)</f>
        <v>0.1111111111111111</v>
      </c>
      <c r="I6" s="192">
        <f>SUM(C6:H7)</f>
        <v>0.86458333333333326</v>
      </c>
      <c r="K6" t="s">
        <v>356</v>
      </c>
      <c r="L6" s="81">
        <v>2.0833333333333332E-2</v>
      </c>
      <c r="M6" t="s">
        <v>319</v>
      </c>
      <c r="N6" s="81">
        <v>0.21180555555555555</v>
      </c>
      <c r="O6" t="s">
        <v>309</v>
      </c>
      <c r="P6" s="81">
        <v>0.13194444444444445</v>
      </c>
      <c r="Q6" t="s">
        <v>281</v>
      </c>
      <c r="R6" s="81">
        <v>4.1666666666666664E-2</v>
      </c>
      <c r="S6" t="s">
        <v>245</v>
      </c>
      <c r="T6" s="81">
        <v>7.6388888888888895E-2</v>
      </c>
      <c r="U6" t="s">
        <v>199</v>
      </c>
      <c r="V6" s="81">
        <v>9.0277777777777776E-2</v>
      </c>
      <c r="W6" t="s">
        <v>140</v>
      </c>
      <c r="X6" s="81">
        <v>9.0277777777777776E-2</v>
      </c>
      <c r="Y6" t="s">
        <v>88</v>
      </c>
      <c r="Z6" s="81">
        <v>6.25E-2</v>
      </c>
      <c r="AA6" s="2" t="s">
        <v>62</v>
      </c>
      <c r="AB6" s="85">
        <v>0.16666666666666666</v>
      </c>
    </row>
    <row r="7" spans="1:28" x14ac:dyDescent="0.25">
      <c r="B7" s="195"/>
      <c r="C7" s="194"/>
      <c r="D7" s="194"/>
      <c r="E7" s="194"/>
      <c r="F7" s="194"/>
      <c r="G7" s="194"/>
      <c r="H7" s="194"/>
      <c r="I7" s="192"/>
      <c r="K7" t="s">
        <v>357</v>
      </c>
      <c r="L7" s="81">
        <v>2.0833333333333332E-2</v>
      </c>
      <c r="M7" t="s">
        <v>328</v>
      </c>
      <c r="N7" s="81">
        <v>2.0833333333333332E-2</v>
      </c>
      <c r="O7" t="s">
        <v>310</v>
      </c>
      <c r="P7" s="81">
        <v>6.9444444444444434E-2</v>
      </c>
      <c r="Q7" t="s">
        <v>282</v>
      </c>
      <c r="R7" s="81">
        <v>4.8611111111111112E-2</v>
      </c>
      <c r="S7" t="s">
        <v>139</v>
      </c>
      <c r="T7" s="81">
        <v>9.0277777777777776E-2</v>
      </c>
      <c r="U7" t="s">
        <v>200</v>
      </c>
      <c r="V7" s="81">
        <v>0.17361111111111113</v>
      </c>
      <c r="W7" s="81" t="s">
        <v>141</v>
      </c>
      <c r="X7" s="81">
        <v>0.10416666666666667</v>
      </c>
      <c r="Y7" t="s">
        <v>89</v>
      </c>
      <c r="Z7" s="81">
        <v>6.5972222222222224E-2</v>
      </c>
      <c r="AA7" s="2" t="s">
        <v>63</v>
      </c>
      <c r="AB7" s="85">
        <v>0.125</v>
      </c>
    </row>
    <row r="8" spans="1:28" x14ac:dyDescent="0.25">
      <c r="B8" s="195" t="s">
        <v>2</v>
      </c>
      <c r="C8" s="194">
        <f>SUMIF(W:W,"*[Implementierung]*",X:X)</f>
        <v>1.0416666666666666E-2</v>
      </c>
      <c r="D8" s="194">
        <f>SUMIF(W:W,"*[Testen]*",X:X)</f>
        <v>0</v>
      </c>
      <c r="E8" s="194">
        <f>SUMIF(W:W,"*[Entwurf]*",X:X)</f>
        <v>0</v>
      </c>
      <c r="F8" s="194">
        <f>SUMIF(W:W,"*[Recherche]*",X:X)</f>
        <v>0</v>
      </c>
      <c r="G8" s="194">
        <f>SUMIF(W:W,"*[Organisation]*",X:X)</f>
        <v>0.54166666666666674</v>
      </c>
      <c r="H8" s="194">
        <f>SUMIF(Meetings!I4:I11,"*Pellekoorne*",Meetings!H4:H11)</f>
        <v>0.14027777777777778</v>
      </c>
      <c r="I8" s="192">
        <f>SUM(C8:H9)</f>
        <v>0.6923611111111112</v>
      </c>
      <c r="K8" t="s">
        <v>377</v>
      </c>
      <c r="L8" s="81">
        <v>0.125</v>
      </c>
      <c r="M8" t="s">
        <v>331</v>
      </c>
      <c r="N8" s="81">
        <v>4.1666666666666664E-2</v>
      </c>
      <c r="O8" t="s">
        <v>311</v>
      </c>
      <c r="P8" s="81">
        <v>0.16666666666666666</v>
      </c>
      <c r="Q8" t="s">
        <v>289</v>
      </c>
      <c r="R8" s="81">
        <v>0.22222222222222221</v>
      </c>
      <c r="S8" s="97" t="s">
        <v>262</v>
      </c>
      <c r="T8" s="81">
        <v>0.1111111111111111</v>
      </c>
      <c r="U8" t="s">
        <v>201</v>
      </c>
      <c r="V8" s="81">
        <v>2.0833333333333332E-2</v>
      </c>
      <c r="W8" t="s">
        <v>142</v>
      </c>
      <c r="X8" s="81">
        <v>0.13194444444444445</v>
      </c>
      <c r="Y8" t="s">
        <v>90</v>
      </c>
      <c r="Z8" s="81">
        <v>1.7361111111111112E-2</v>
      </c>
    </row>
    <row r="9" spans="1:28" x14ac:dyDescent="0.25">
      <c r="B9" s="195"/>
      <c r="C9" s="194"/>
      <c r="D9" s="194"/>
      <c r="E9" s="194"/>
      <c r="F9" s="194"/>
      <c r="G9" s="194"/>
      <c r="H9" s="194"/>
      <c r="I9" s="192"/>
      <c r="K9" t="s">
        <v>378</v>
      </c>
      <c r="L9" s="81">
        <v>8.3333333333333329E-2</v>
      </c>
      <c r="M9" t="s">
        <v>332</v>
      </c>
      <c r="N9" s="81">
        <v>0.11805555555555557</v>
      </c>
      <c r="O9" t="s">
        <v>313</v>
      </c>
      <c r="P9" s="81">
        <v>2.7777777777777776E-2</v>
      </c>
      <c r="Q9" s="2" t="s">
        <v>233</v>
      </c>
      <c r="R9" s="81">
        <v>2.4305555555555556E-2</v>
      </c>
      <c r="S9" s="97" t="s">
        <v>263</v>
      </c>
      <c r="T9" s="81">
        <v>0.13194444444444445</v>
      </c>
      <c r="U9" t="s">
        <v>202</v>
      </c>
      <c r="V9" s="81">
        <v>6.25E-2</v>
      </c>
      <c r="W9" t="s">
        <v>143</v>
      </c>
      <c r="X9" s="81">
        <v>8.3333333333333329E-2</v>
      </c>
      <c r="Y9" t="s">
        <v>91</v>
      </c>
      <c r="Z9" s="81">
        <v>2.7777777777777776E-2</v>
      </c>
    </row>
    <row r="10" spans="1:28" x14ac:dyDescent="0.25">
      <c r="B10" s="195" t="s">
        <v>3</v>
      </c>
      <c r="C10" s="194">
        <f>SUMIF(U:U,"*[Implementierung]*",V:V)</f>
        <v>0</v>
      </c>
      <c r="D10" s="194">
        <f>SUMIF(U:U,"*[Testen]*",V:V)</f>
        <v>0</v>
      </c>
      <c r="E10" s="194">
        <f>SUMIF(U:U,"*[Entwurf]*",V:V)</f>
        <v>0.23611111111111113</v>
      </c>
      <c r="F10" s="194">
        <f>SUMIF(U:U,"*[Recherche]*",V:V)</f>
        <v>2.0833333333333332E-2</v>
      </c>
      <c r="G10" s="194">
        <f>SUMIF(U:U,"*[Organisation]*",V:V)</f>
        <v>0.35416666666666669</v>
      </c>
      <c r="H10" s="194">
        <f>SUMIF(Meetings!L4:L11,"*Pellekoorne*",Meetings!K4:K11)</f>
        <v>6.5972222222222224E-2</v>
      </c>
      <c r="I10" s="192">
        <f>SUM(C10:H11)</f>
        <v>0.67708333333333337</v>
      </c>
      <c r="K10" t="s">
        <v>358</v>
      </c>
      <c r="L10" s="81">
        <v>4.1666666666666664E-2</v>
      </c>
      <c r="M10" t="s">
        <v>333</v>
      </c>
      <c r="N10" s="81">
        <v>6.25E-2</v>
      </c>
      <c r="O10" t="s">
        <v>319</v>
      </c>
      <c r="P10" s="81">
        <v>0.10416666666666667</v>
      </c>
      <c r="S10" s="97" t="s">
        <v>264</v>
      </c>
      <c r="T10" s="81">
        <v>8.3333333333333329E-2</v>
      </c>
      <c r="U10" t="s">
        <v>203</v>
      </c>
      <c r="V10" s="81">
        <v>2.7777777777777776E-2</v>
      </c>
      <c r="W10" t="s">
        <v>144</v>
      </c>
      <c r="X10" s="81">
        <v>1.0416666666666666E-2</v>
      </c>
      <c r="Y10" t="s">
        <v>92</v>
      </c>
      <c r="Z10" s="81">
        <v>0.11458333333333333</v>
      </c>
    </row>
    <row r="11" spans="1:28" x14ac:dyDescent="0.25">
      <c r="B11" s="195"/>
      <c r="C11" s="194"/>
      <c r="D11" s="194"/>
      <c r="E11" s="194"/>
      <c r="F11" s="194"/>
      <c r="G11" s="194"/>
      <c r="H11" s="194"/>
      <c r="I11" s="192"/>
      <c r="K11" t="s">
        <v>381</v>
      </c>
      <c r="L11" s="81">
        <v>4.1666666666666664E-2</v>
      </c>
      <c r="M11" t="s">
        <v>335</v>
      </c>
      <c r="N11" s="81">
        <v>2.7777777777777776E-2</v>
      </c>
      <c r="O11" t="s">
        <v>318</v>
      </c>
      <c r="P11" s="81">
        <v>2.7777777777777776E-2</v>
      </c>
      <c r="S11" s="97" t="s">
        <v>266</v>
      </c>
      <c r="T11" s="81">
        <v>2.7777777777777776E-2</v>
      </c>
      <c r="U11" t="s">
        <v>92</v>
      </c>
      <c r="V11" s="81">
        <v>0.10416666666666667</v>
      </c>
      <c r="Y11" t="s">
        <v>93</v>
      </c>
      <c r="Z11" s="81">
        <v>0.12152777777777778</v>
      </c>
    </row>
    <row r="12" spans="1:28" x14ac:dyDescent="0.25">
      <c r="B12" s="195" t="s">
        <v>4</v>
      </c>
      <c r="C12" s="194">
        <f>SUMIF(S:S,"*[Implementierung]*",T:T)</f>
        <v>0.44444444444444448</v>
      </c>
      <c r="D12" s="194">
        <f>SUMIF(S:S,"*[Testen]*",T:T)</f>
        <v>0</v>
      </c>
      <c r="E12" s="194">
        <f>SUMIF(S:S,"*[Entwurf]*",T:T)</f>
        <v>2.7777777777777776E-2</v>
      </c>
      <c r="F12" s="194">
        <f>SUMIF(S:S,"*[Recherche]*",T:T)</f>
        <v>0</v>
      </c>
      <c r="G12" s="194">
        <f>SUMIF(S:S,"*[Organisation]*",T:T)</f>
        <v>0.20833333333333331</v>
      </c>
      <c r="H12" s="194">
        <f>SUMIF(Meetings!O4:O11,"*Pellekoorne*",Meetings!N4:N11)</f>
        <v>8.1249999999999989E-2</v>
      </c>
      <c r="I12" s="192">
        <f>SUM(C12:H13)</f>
        <v>0.76180555555555562</v>
      </c>
      <c r="K12" t="s">
        <v>384</v>
      </c>
      <c r="L12" s="81">
        <v>3.4722222222222224E-2</v>
      </c>
      <c r="M12" t="s">
        <v>338</v>
      </c>
      <c r="N12" s="81">
        <v>0.19444444444444445</v>
      </c>
      <c r="S12" s="97" t="s">
        <v>265</v>
      </c>
      <c r="T12" s="81">
        <v>0.11805555555555557</v>
      </c>
      <c r="Y12" t="s">
        <v>94</v>
      </c>
      <c r="Z12" s="81">
        <v>0.11805555555555557</v>
      </c>
    </row>
    <row r="13" spans="1:28" x14ac:dyDescent="0.25">
      <c r="B13" s="195"/>
      <c r="C13" s="194"/>
      <c r="D13" s="194"/>
      <c r="E13" s="194"/>
      <c r="F13" s="194"/>
      <c r="G13" s="194"/>
      <c r="H13" s="194"/>
      <c r="I13" s="192"/>
      <c r="K13" t="s">
        <v>385</v>
      </c>
      <c r="L13" s="81">
        <v>4.1666666666666664E-2</v>
      </c>
      <c r="M13" t="s">
        <v>354</v>
      </c>
      <c r="N13" s="81">
        <v>2.7777777777777776E-2</v>
      </c>
      <c r="Y13" t="s">
        <v>95</v>
      </c>
      <c r="Z13" s="81">
        <v>0.14583333333333334</v>
      </c>
    </row>
    <row r="14" spans="1:28" x14ac:dyDescent="0.25">
      <c r="B14" s="195" t="s">
        <v>5</v>
      </c>
      <c r="C14" s="194">
        <f>SUMIF(Q:Q,"*[Implementierung]*",R:R)</f>
        <v>2.0833333333333332E-2</v>
      </c>
      <c r="D14" s="194">
        <f>SUMIF(Q:Q,"*[Testen]*",R:R)</f>
        <v>2.4305555555555556E-2</v>
      </c>
      <c r="E14" s="194">
        <f>SUMIF(Q:Q,"*[Entwurf]*",R:R)</f>
        <v>0</v>
      </c>
      <c r="F14" s="194">
        <f>SUMIF(Q:Q,"*[Recherche]*",R:R)</f>
        <v>0</v>
      </c>
      <c r="G14" s="194">
        <f>SUMIF(Q:Q,"*[Organisation]*",R:R)</f>
        <v>0.3125</v>
      </c>
      <c r="H14" s="194">
        <f>SUMIF(Meetings!R4:R11,"*Pellekoorne*",Meetings!Q4:Q11)</f>
        <v>0.18402777777777776</v>
      </c>
      <c r="I14" s="192">
        <f>SUM(C14:H15)</f>
        <v>0.54166666666666663</v>
      </c>
      <c r="Y14" t="s">
        <v>96</v>
      </c>
      <c r="Z14" s="81">
        <v>6.25E-2</v>
      </c>
    </row>
    <row r="15" spans="1:28" x14ac:dyDescent="0.25">
      <c r="B15" s="195"/>
      <c r="C15" s="194"/>
      <c r="D15" s="194"/>
      <c r="E15" s="194"/>
      <c r="F15" s="194"/>
      <c r="G15" s="194"/>
      <c r="H15" s="194"/>
      <c r="I15" s="192"/>
    </row>
    <row r="16" spans="1:28" x14ac:dyDescent="0.25">
      <c r="B16" s="195" t="s">
        <v>6</v>
      </c>
      <c r="C16" s="194">
        <f>SUMIF(O:O,"*[Implementierung]*",P:P)</f>
        <v>0.3263888888888889</v>
      </c>
      <c r="D16" s="194">
        <f>SUMIF(O:O,"*[Testen]*",P:P)</f>
        <v>0</v>
      </c>
      <c r="E16" s="194">
        <f>SUMIF(O:O,"*[Entwurf]*",P:P)</f>
        <v>0</v>
      </c>
      <c r="F16" s="194">
        <f>SUMIF(O:O,"*[Recherche]*",P:P)</f>
        <v>0</v>
      </c>
      <c r="G16" s="194">
        <f>SUMIF(O:O,"*[Organisation]*",P:P)</f>
        <v>0.31944444444444448</v>
      </c>
      <c r="H16" s="194">
        <f>SUMIF(Meetings!U4:U11,"*Pellekoorne*",Meetings!T4:T11)</f>
        <v>0.11805555555555555</v>
      </c>
      <c r="I16" s="192">
        <f>SUM(C16:H17)</f>
        <v>0.76388888888888895</v>
      </c>
    </row>
    <row r="17" spans="2:9" x14ac:dyDescent="0.25">
      <c r="B17" s="195"/>
      <c r="C17" s="194"/>
      <c r="D17" s="194"/>
      <c r="E17" s="194"/>
      <c r="F17" s="194"/>
      <c r="G17" s="194"/>
      <c r="H17" s="194"/>
      <c r="I17" s="192"/>
    </row>
    <row r="18" spans="2:9" x14ac:dyDescent="0.25">
      <c r="B18" s="195" t="s">
        <v>28</v>
      </c>
      <c r="C18" s="194">
        <f>SUMIF(M:M,"*[Implementierung]*",N:N)</f>
        <v>0.24305555555555558</v>
      </c>
      <c r="D18" s="194">
        <f>SUMIF(M:M,"*[Testen]*",N:N)</f>
        <v>0</v>
      </c>
      <c r="E18" s="194">
        <f>SUMIF(M:M,"*[Entwurf]*",N:N)</f>
        <v>0.25694444444444442</v>
      </c>
      <c r="F18" s="194">
        <f>SUMIF(M:M,"*[Recherche]*",N:N)</f>
        <v>0</v>
      </c>
      <c r="G18" s="194">
        <f>SUMIF(M:M,"*[Organisation]*",N:N)</f>
        <v>0.23958333333333331</v>
      </c>
      <c r="H18" s="194">
        <f>SUMIF(Meetings!C14:C21,"*Pellekoorne*",Meetings!B14:B21)</f>
        <v>0.2013888888888889</v>
      </c>
      <c r="I18" s="192">
        <f>SUM(C18:H19)</f>
        <v>0.9409722222222221</v>
      </c>
    </row>
    <row r="19" spans="2:9" x14ac:dyDescent="0.25">
      <c r="B19" s="195"/>
      <c r="C19" s="194"/>
      <c r="D19" s="194"/>
      <c r="E19" s="194"/>
      <c r="F19" s="194"/>
      <c r="G19" s="194"/>
      <c r="H19" s="194"/>
      <c r="I19" s="192"/>
    </row>
    <row r="20" spans="2:9" x14ac:dyDescent="0.25">
      <c r="B20" s="195" t="s">
        <v>29</v>
      </c>
      <c r="C20" s="194">
        <f>SUMIF(K:K,"*[Implementierung]*",L:L)</f>
        <v>4.1666666666666664E-2</v>
      </c>
      <c r="D20" s="194">
        <f>SUMIF(K:K,"*[Testen]*",L:L)</f>
        <v>0</v>
      </c>
      <c r="E20" s="194">
        <f>SUMIF(K:K,"*[Entwurf]*",L:L)</f>
        <v>4.8611111111111105E-2</v>
      </c>
      <c r="F20" s="194">
        <f>SUMIF(K:K,"*[Recherche]*",L:L)</f>
        <v>0</v>
      </c>
      <c r="G20" s="194">
        <f>SUMIF(K:K,"*[Organisation]*",L:L)</f>
        <v>0.34722222222222227</v>
      </c>
      <c r="H20" s="194">
        <f>SUMIF(Meetings!F14:F21,"*Pellekoorne*",Meetings!E14:E21)</f>
        <v>0.10416666666666666</v>
      </c>
      <c r="I20" s="192">
        <f>SUM(C20:H21)</f>
        <v>0.54166666666666663</v>
      </c>
    </row>
    <row r="21" spans="2:9" x14ac:dyDescent="0.25">
      <c r="B21" s="195"/>
      <c r="C21" s="194"/>
      <c r="D21" s="194"/>
      <c r="E21" s="194"/>
      <c r="F21" s="194"/>
      <c r="G21" s="194"/>
      <c r="H21" s="194"/>
      <c r="I21" s="192"/>
    </row>
    <row r="22" spans="2:9" x14ac:dyDescent="0.25">
      <c r="B22" s="195" t="s">
        <v>30</v>
      </c>
      <c r="C22" s="194"/>
      <c r="D22" s="194"/>
      <c r="E22" s="194"/>
      <c r="F22" s="194"/>
      <c r="G22" s="194"/>
      <c r="H22" s="194">
        <f>SUMIF(Meetings!I14:I21,"*Pellekoorne*",Meetings!H14:H21)</f>
        <v>2.7777777777777776E-2</v>
      </c>
      <c r="I22" s="192">
        <f>SUM(C22:H23)</f>
        <v>2.7777777777777776E-2</v>
      </c>
    </row>
    <row r="23" spans="2:9" x14ac:dyDescent="0.25">
      <c r="B23" s="195"/>
      <c r="C23" s="194"/>
      <c r="D23" s="194"/>
      <c r="E23" s="194"/>
      <c r="F23" s="194"/>
      <c r="G23" s="194"/>
      <c r="H23" s="194"/>
      <c r="I23" s="192"/>
    </row>
    <row r="24" spans="2:9" x14ac:dyDescent="0.25">
      <c r="B24" s="195" t="s">
        <v>31</v>
      </c>
      <c r="C24" s="194"/>
      <c r="D24" s="194"/>
      <c r="E24" s="194"/>
      <c r="F24" s="194"/>
      <c r="G24" s="194"/>
      <c r="H24" s="194">
        <f>SUMIF(Meetings!L14:L21,"*Pellekoorne*",Meetings!K14:K21)</f>
        <v>3.4722222222222224E-2</v>
      </c>
      <c r="I24" s="192">
        <f>SUM(C24:H25)</f>
        <v>3.4722222222222224E-2</v>
      </c>
    </row>
    <row r="25" spans="2:9" x14ac:dyDescent="0.25">
      <c r="B25" s="195"/>
      <c r="C25" s="194"/>
      <c r="D25" s="194"/>
      <c r="E25" s="194"/>
      <c r="F25" s="194"/>
      <c r="G25" s="194"/>
      <c r="H25" s="194"/>
      <c r="I25" s="192"/>
    </row>
    <row r="26" spans="2:9" x14ac:dyDescent="0.25">
      <c r="B26" s="195" t="s">
        <v>32</v>
      </c>
      <c r="C26" s="194"/>
      <c r="D26" s="194"/>
      <c r="E26" s="194"/>
      <c r="F26" s="194"/>
      <c r="G26" s="194"/>
      <c r="H26" s="194">
        <f>SUMIF(Meetings!O14:O21,"*Pellekoorne*",Meetings!N14:N21)</f>
        <v>3.4722222222222224E-2</v>
      </c>
      <c r="I26" s="192">
        <f>SUM(C26:H27)</f>
        <v>3.4722222222222224E-2</v>
      </c>
    </row>
    <row r="27" spans="2:9" x14ac:dyDescent="0.25">
      <c r="B27" s="195"/>
      <c r="C27" s="194"/>
      <c r="D27" s="194"/>
      <c r="E27" s="194"/>
      <c r="F27" s="194"/>
      <c r="G27" s="194"/>
      <c r="H27" s="194"/>
      <c r="I27" s="192"/>
    </row>
    <row r="28" spans="2:9" x14ac:dyDescent="0.25">
      <c r="B28" s="195" t="s">
        <v>33</v>
      </c>
      <c r="C28" s="194"/>
      <c r="D28" s="194"/>
      <c r="E28" s="194"/>
      <c r="F28" s="194"/>
      <c r="G28" s="194"/>
      <c r="H28" s="194">
        <f>SUMIF(Meetings!R14:R21,"*Pellekoorne*",Meetings!Q14:Q21)</f>
        <v>3.4722222222222224E-2</v>
      </c>
      <c r="I28" s="192">
        <f>SUM(C28:H29)</f>
        <v>3.4722222222222224E-2</v>
      </c>
    </row>
    <row r="29" spans="2:9" x14ac:dyDescent="0.25">
      <c r="B29" s="195"/>
      <c r="C29" s="194"/>
      <c r="D29" s="194"/>
      <c r="E29" s="194"/>
      <c r="F29" s="194"/>
      <c r="G29" s="194"/>
      <c r="H29" s="194"/>
      <c r="I29" s="192"/>
    </row>
    <row r="30" spans="2:9" x14ac:dyDescent="0.25">
      <c r="B30" s="195" t="s">
        <v>34</v>
      </c>
      <c r="C30" s="194"/>
      <c r="D30" s="194"/>
      <c r="E30" s="194"/>
      <c r="F30" s="194"/>
      <c r="G30" s="194"/>
      <c r="H30" s="194">
        <f>SUMIF(Meetings!U14:U21,"*Pellekoorne*",Meetings!T14:T21)</f>
        <v>3.4722222222222224E-2</v>
      </c>
      <c r="I30" s="192">
        <f>SUM(C30:H31)</f>
        <v>3.4722222222222224E-2</v>
      </c>
    </row>
    <row r="31" spans="2:9" x14ac:dyDescent="0.25">
      <c r="B31" s="195"/>
      <c r="C31" s="194"/>
      <c r="D31" s="194"/>
      <c r="E31" s="194"/>
      <c r="F31" s="194"/>
      <c r="G31" s="194"/>
      <c r="H31" s="194"/>
      <c r="I31" s="193"/>
    </row>
    <row r="32" spans="2:9" x14ac:dyDescent="0.25">
      <c r="B32" s="195" t="s">
        <v>392</v>
      </c>
      <c r="C32" s="194"/>
      <c r="D32" s="194"/>
      <c r="E32" s="194"/>
      <c r="F32" s="194"/>
      <c r="G32" s="194"/>
      <c r="H32" s="194">
        <f>SUMIF(Meetings!C24:C31,"*Pellekoorne*",Meetings!B24:B31)</f>
        <v>3.4722222222222224E-2</v>
      </c>
      <c r="I32" s="192">
        <f>SUM(C32:H33)</f>
        <v>3.4722222222222224E-2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>
        <f>SUMIF(Meetings!F24:F31,"*Pellekoorne*",Meetings!E24:E31)</f>
        <v>3.4722222222222224E-2</v>
      </c>
      <c r="I34" s="192">
        <f>SUM(C34:H35)</f>
        <v>3.4722222222222224E-2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>
        <f>SUMIF(Meetings!I24:I31,"*Pellekoorne*",Meetings!H24:H31)</f>
        <v>3.4722222222222224E-2</v>
      </c>
      <c r="I36" s="192">
        <f>SUM(C36:H37)</f>
        <v>3.4722222222222224E-2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1.0868055555555556</v>
      </c>
      <c r="D38" s="192">
        <f t="shared" si="0"/>
        <v>2.4305555555555556E-2</v>
      </c>
      <c r="E38" s="192">
        <f t="shared" si="0"/>
        <v>0.63194444444444442</v>
      </c>
      <c r="F38" s="192">
        <f t="shared" si="0"/>
        <v>0.10416666666666666</v>
      </c>
      <c r="G38" s="192">
        <f t="shared" si="0"/>
        <v>3.3055555555555562</v>
      </c>
      <c r="H38" s="196">
        <f t="shared" si="0"/>
        <v>1.4645833333333338</v>
      </c>
      <c r="I38" s="198">
        <f>SUM(C38:H39)</f>
        <v>6.6173611111111121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5">
    <mergeCell ref="A1:C1"/>
    <mergeCell ref="H30:H31"/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H18:H19"/>
    <mergeCell ref="H20:H21"/>
    <mergeCell ref="H22:H23"/>
    <mergeCell ref="H24:H25"/>
    <mergeCell ref="H26:H27"/>
    <mergeCell ref="I22:I23"/>
    <mergeCell ref="I24:I25"/>
    <mergeCell ref="I26:I27"/>
    <mergeCell ref="I28:I29"/>
    <mergeCell ref="I30:I31"/>
    <mergeCell ref="H28:H29"/>
    <mergeCell ref="F26:F27"/>
    <mergeCell ref="F28:F29"/>
    <mergeCell ref="H4:H5"/>
    <mergeCell ref="H6:H7"/>
    <mergeCell ref="H8:H9"/>
    <mergeCell ref="H10:H11"/>
    <mergeCell ref="H12:H13"/>
    <mergeCell ref="H14:H15"/>
    <mergeCell ref="H16:H17"/>
    <mergeCell ref="F14:F15"/>
    <mergeCell ref="F16:F17"/>
    <mergeCell ref="G4:G5"/>
    <mergeCell ref="G6:G7"/>
    <mergeCell ref="G8:G9"/>
    <mergeCell ref="G10:G11"/>
    <mergeCell ref="G12:G13"/>
    <mergeCell ref="G14:G15"/>
    <mergeCell ref="G16:G17"/>
    <mergeCell ref="D30:D31"/>
    <mergeCell ref="F4:F5"/>
    <mergeCell ref="F6:F7"/>
    <mergeCell ref="F8:F9"/>
    <mergeCell ref="F10:F11"/>
    <mergeCell ref="F12:F13"/>
    <mergeCell ref="F24:F25"/>
    <mergeCell ref="D22:D23"/>
    <mergeCell ref="D24:D25"/>
    <mergeCell ref="D26:D27"/>
    <mergeCell ref="D28:D29"/>
    <mergeCell ref="E12:E13"/>
    <mergeCell ref="E14:E15"/>
    <mergeCell ref="E16:E17"/>
    <mergeCell ref="E18:E19"/>
    <mergeCell ref="E20:E21"/>
    <mergeCell ref="D14:D15"/>
    <mergeCell ref="D16:D17"/>
    <mergeCell ref="D18:D19"/>
    <mergeCell ref="D20:D21"/>
    <mergeCell ref="F30:F31"/>
    <mergeCell ref="F18:F19"/>
    <mergeCell ref="F20:F21"/>
    <mergeCell ref="F22:F23"/>
    <mergeCell ref="B4:B5"/>
    <mergeCell ref="C4:C5"/>
    <mergeCell ref="C6:C7"/>
    <mergeCell ref="C8:C9"/>
    <mergeCell ref="C10:C11"/>
    <mergeCell ref="C12:C13"/>
    <mergeCell ref="C14:C15"/>
    <mergeCell ref="C16:C17"/>
    <mergeCell ref="B16:B17"/>
    <mergeCell ref="E4:E5"/>
    <mergeCell ref="E6:E7"/>
    <mergeCell ref="E8:E9"/>
    <mergeCell ref="E10:E11"/>
    <mergeCell ref="G24:G25"/>
    <mergeCell ref="G26:G27"/>
    <mergeCell ref="G28:G29"/>
    <mergeCell ref="G30:G31"/>
    <mergeCell ref="B6:B7"/>
    <mergeCell ref="B8:B9"/>
    <mergeCell ref="B10:B11"/>
    <mergeCell ref="B12:B13"/>
    <mergeCell ref="D4:D5"/>
    <mergeCell ref="D6:D7"/>
    <mergeCell ref="D8:D9"/>
    <mergeCell ref="D10:D11"/>
    <mergeCell ref="D12:D13"/>
    <mergeCell ref="C18:C19"/>
    <mergeCell ref="C20:C21"/>
    <mergeCell ref="C22:C23"/>
    <mergeCell ref="C24:C25"/>
    <mergeCell ref="C26:C27"/>
    <mergeCell ref="B14:B15"/>
    <mergeCell ref="B28:B29"/>
    <mergeCell ref="B38:B39"/>
    <mergeCell ref="C38:C39"/>
    <mergeCell ref="D38:D39"/>
    <mergeCell ref="E38:E39"/>
    <mergeCell ref="F38:F39"/>
    <mergeCell ref="G38:G39"/>
    <mergeCell ref="H38:H39"/>
    <mergeCell ref="I38:I39"/>
    <mergeCell ref="G18:G19"/>
    <mergeCell ref="G20:G21"/>
    <mergeCell ref="G22:G23"/>
    <mergeCell ref="E22:E23"/>
    <mergeCell ref="E24:E25"/>
    <mergeCell ref="E26:E27"/>
    <mergeCell ref="E28:E29"/>
    <mergeCell ref="E30:E31"/>
    <mergeCell ref="B30:B31"/>
    <mergeCell ref="B18:B19"/>
    <mergeCell ref="B20:B21"/>
    <mergeCell ref="B22:B23"/>
    <mergeCell ref="B24:B25"/>
    <mergeCell ref="B26:B27"/>
    <mergeCell ref="C30:C31"/>
    <mergeCell ref="C28:C29"/>
    <mergeCell ref="B32:B33"/>
    <mergeCell ref="B34:B35"/>
    <mergeCell ref="B36:B37"/>
    <mergeCell ref="C32:C33"/>
    <mergeCell ref="D32:D33"/>
    <mergeCell ref="E32:E33"/>
    <mergeCell ref="F32:F33"/>
    <mergeCell ref="G32:G33"/>
    <mergeCell ref="H32:H33"/>
    <mergeCell ref="I32:I33"/>
    <mergeCell ref="C34:C35"/>
    <mergeCell ref="D34:D35"/>
    <mergeCell ref="E34:E35"/>
    <mergeCell ref="F34:F35"/>
    <mergeCell ref="G34:G35"/>
    <mergeCell ref="H34:H35"/>
    <mergeCell ref="I34:I35"/>
    <mergeCell ref="C36:C37"/>
    <mergeCell ref="D36:D37"/>
    <mergeCell ref="E36:E37"/>
    <mergeCell ref="F36:F37"/>
    <mergeCell ref="G36:G37"/>
    <mergeCell ref="H36:H37"/>
    <mergeCell ref="I36:I37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148D-1B7A-4C79-B845-05B9873B3D98}">
  <sheetPr codeName="Tabelle3"/>
  <dimension ref="A1:AB39"/>
  <sheetViews>
    <sheetView topLeftCell="A7" workbookViewId="0">
      <selection activeCell="H38" sqref="H38:H39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48.85546875" customWidth="1"/>
  </cols>
  <sheetData>
    <row r="1" spans="1:28" ht="26.25" x14ac:dyDescent="0.4">
      <c r="A1" s="189" t="s">
        <v>50</v>
      </c>
      <c r="B1" s="189"/>
      <c r="C1" s="189"/>
      <c r="K1" s="50" t="s">
        <v>56</v>
      </c>
      <c r="L1" s="2"/>
    </row>
    <row r="3" spans="1:28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29</v>
      </c>
      <c r="L3" s="58"/>
      <c r="M3" s="58" t="s">
        <v>28</v>
      </c>
      <c r="N3" s="58"/>
      <c r="O3" s="58" t="s">
        <v>6</v>
      </c>
      <c r="P3" s="58"/>
      <c r="Q3" s="58" t="s">
        <v>5</v>
      </c>
      <c r="R3" s="58"/>
      <c r="S3" s="58" t="s">
        <v>4</v>
      </c>
      <c r="T3" s="58"/>
      <c r="U3" s="58" t="s">
        <v>3</v>
      </c>
      <c r="V3" s="58"/>
      <c r="W3" s="58" t="s">
        <v>2</v>
      </c>
      <c r="X3" s="58"/>
      <c r="Y3" s="58" t="s">
        <v>1</v>
      </c>
      <c r="Z3" s="58"/>
      <c r="AA3" s="47" t="s">
        <v>37</v>
      </c>
      <c r="AB3" s="47"/>
    </row>
    <row r="4" spans="1:28" x14ac:dyDescent="0.25">
      <c r="B4" s="200" t="s">
        <v>37</v>
      </c>
      <c r="C4" s="187">
        <f>SUMIF(AA:AA,"*[Implementierung]*",AB:AB)</f>
        <v>0</v>
      </c>
      <c r="D4" s="187">
        <f>SUMIF(AA:AA,"*[Testen]*",AB:AB)</f>
        <v>0</v>
      </c>
      <c r="E4" s="187">
        <f>SUMIF(AA:AA,"*[Entwurf]*",AB:AB)</f>
        <v>0</v>
      </c>
      <c r="F4" s="187">
        <f>SUMIF(AA:AA,"*[Recherche]*",AB:AB)</f>
        <v>0.46527777777777773</v>
      </c>
      <c r="G4" s="187">
        <f>SUMIF(AA:AA,"*[Organisation]*",AB:AB)</f>
        <v>0</v>
      </c>
      <c r="H4" s="187">
        <f>SUMIF(Meetings!C4:C11,"*Gutsche*",Meetings!B4:B11)</f>
        <v>0.29166666666666669</v>
      </c>
      <c r="I4" s="192">
        <f>SUM(C4:H5)</f>
        <v>0.75694444444444442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  <c r="Y4" s="48" t="s">
        <v>59</v>
      </c>
      <c r="Z4" s="48" t="s">
        <v>60</v>
      </c>
      <c r="AA4" s="48" t="s">
        <v>59</v>
      </c>
      <c r="AB4" s="48" t="s">
        <v>60</v>
      </c>
    </row>
    <row r="5" spans="1:28" x14ac:dyDescent="0.25">
      <c r="B5" s="201"/>
      <c r="C5" s="187"/>
      <c r="D5" s="187"/>
      <c r="E5" s="187"/>
      <c r="F5" s="187"/>
      <c r="G5" s="187"/>
      <c r="H5" s="187"/>
      <c r="I5" s="192"/>
      <c r="K5" t="s">
        <v>369</v>
      </c>
      <c r="L5" s="81">
        <v>1.3194444444444444E-2</v>
      </c>
      <c r="M5" t="s">
        <v>321</v>
      </c>
      <c r="N5" s="81">
        <v>5.5555555555555552E-2</v>
      </c>
      <c r="O5" t="s">
        <v>283</v>
      </c>
      <c r="P5" s="81">
        <v>8.819444444444445E-2</v>
      </c>
      <c r="Q5" t="s">
        <v>271</v>
      </c>
      <c r="R5" s="81">
        <v>5.2083333333333336E-2</v>
      </c>
      <c r="S5" t="s">
        <v>235</v>
      </c>
      <c r="T5" s="81">
        <v>8.4027777777777771E-2</v>
      </c>
      <c r="U5" t="s">
        <v>204</v>
      </c>
      <c r="V5" s="81">
        <v>7.7777777777777779E-2</v>
      </c>
      <c r="W5" t="s">
        <v>145</v>
      </c>
      <c r="X5" s="81">
        <v>4.1666666666666664E-2</v>
      </c>
      <c r="Y5" t="s">
        <v>88</v>
      </c>
      <c r="Z5" s="81">
        <v>5.2083333333333336E-2</v>
      </c>
      <c r="AA5" s="2" t="s">
        <v>64</v>
      </c>
      <c r="AB5" s="85">
        <v>9.375E-2</v>
      </c>
    </row>
    <row r="6" spans="1:28" x14ac:dyDescent="0.25">
      <c r="B6" s="195" t="s">
        <v>1</v>
      </c>
      <c r="C6" s="194">
        <f>SUMIF(Y:Y,"*[Implementierung]*",Z:Z)</f>
        <v>0.45347222222222228</v>
      </c>
      <c r="D6" s="194">
        <f>SUMIF(Y:Y,"*[Testen]*",Z:Z)</f>
        <v>0</v>
      </c>
      <c r="E6" s="194">
        <f>SUMIF(Y:Y,"*[Entwurf]*",Z:Z)</f>
        <v>7.2916666666666671E-2</v>
      </c>
      <c r="F6" s="194">
        <f>SUMIF(Y:Y,"*[Recherche]*",Z:Z)</f>
        <v>0</v>
      </c>
      <c r="G6" s="194">
        <f>SUMIF(Y:Y,"*[Organisation]*",Z:Z)</f>
        <v>6.25E-2</v>
      </c>
      <c r="H6" s="194">
        <f>SUMIF(Meetings!F4:F11,"*Gutsche*",Meetings!E4:E11)</f>
        <v>6.9444444444444448E-2</v>
      </c>
      <c r="I6" s="192">
        <f>SUM(C6:H7)</f>
        <v>0.65833333333333333</v>
      </c>
      <c r="K6" t="s">
        <v>375</v>
      </c>
      <c r="L6" s="81">
        <v>0.12847222222222224</v>
      </c>
      <c r="M6" t="s">
        <v>325</v>
      </c>
      <c r="N6" s="81">
        <v>8.2638888888888887E-2</v>
      </c>
      <c r="O6" t="s">
        <v>290</v>
      </c>
      <c r="P6" s="81">
        <v>6.6666666666666666E-2</v>
      </c>
      <c r="Q6" t="s">
        <v>277</v>
      </c>
      <c r="R6" s="81">
        <v>3.4722222222222224E-2</v>
      </c>
      <c r="S6" t="s">
        <v>243</v>
      </c>
      <c r="T6" s="81">
        <v>0.22152777777777777</v>
      </c>
      <c r="U6" t="s">
        <v>205</v>
      </c>
      <c r="V6" s="81">
        <v>1.0416666666666666E-2</v>
      </c>
      <c r="W6" t="s">
        <v>146</v>
      </c>
      <c r="X6" s="81">
        <v>1.0416666666666666E-2</v>
      </c>
      <c r="Y6" t="s">
        <v>104</v>
      </c>
      <c r="Z6" s="81">
        <v>0.1111111111111111</v>
      </c>
      <c r="AA6" s="2" t="s">
        <v>65</v>
      </c>
      <c r="AB6" s="85">
        <v>0.25</v>
      </c>
    </row>
    <row r="7" spans="1:28" x14ac:dyDescent="0.25">
      <c r="B7" s="195"/>
      <c r="C7" s="194"/>
      <c r="D7" s="194"/>
      <c r="E7" s="194"/>
      <c r="F7" s="194"/>
      <c r="G7" s="194"/>
      <c r="H7" s="194"/>
      <c r="I7" s="192"/>
      <c r="K7" t="s">
        <v>379</v>
      </c>
      <c r="L7" s="81">
        <v>0.12152777777777778</v>
      </c>
      <c r="M7" t="s">
        <v>336</v>
      </c>
      <c r="N7" s="81">
        <v>3.4722222222222224E-2</v>
      </c>
      <c r="O7" t="s">
        <v>293</v>
      </c>
      <c r="P7" s="81">
        <v>2.4305555555555556E-2</v>
      </c>
      <c r="Q7" t="s">
        <v>280</v>
      </c>
      <c r="R7" s="81">
        <v>2.4305555555555556E-2</v>
      </c>
      <c r="S7" t="s">
        <v>255</v>
      </c>
      <c r="T7" s="81">
        <v>7.2916666666666671E-2</v>
      </c>
      <c r="U7" t="s">
        <v>206</v>
      </c>
      <c r="V7" s="81">
        <v>0.13055555555555556</v>
      </c>
      <c r="W7" t="s">
        <v>147</v>
      </c>
      <c r="X7" s="81">
        <v>1.3888888888888888E-2</v>
      </c>
      <c r="Y7" s="81" t="s">
        <v>105</v>
      </c>
      <c r="Z7" s="81">
        <v>5.9027777777777783E-2</v>
      </c>
      <c r="AA7" s="2" t="s">
        <v>66</v>
      </c>
      <c r="AB7" s="85">
        <v>2.0833333333333332E-2</v>
      </c>
    </row>
    <row r="8" spans="1:28" x14ac:dyDescent="0.25">
      <c r="B8" s="195" t="s">
        <v>2</v>
      </c>
      <c r="C8" s="194">
        <f>SUMIF(W:W,"*[Implementierung]*",X:X)</f>
        <v>0.50347222222222232</v>
      </c>
      <c r="D8" s="194">
        <f>SUMIF(W:W,"*[Testen]*",X:X)</f>
        <v>0</v>
      </c>
      <c r="E8" s="194">
        <f>SUMIF(W:W,"*[Entwurf]*",X:X)</f>
        <v>0</v>
      </c>
      <c r="F8" s="194">
        <f>SUMIF(W:W,"*[Recherche]*",X:X)</f>
        <v>1.3888888888888888E-2</v>
      </c>
      <c r="G8" s="194">
        <f>SUMIF(W:W,"*[Organisation]*",X:X)</f>
        <v>4.1666666666666664E-2</v>
      </c>
      <c r="H8" s="194">
        <f>SUMIF(Meetings!I4:I11,"*Gutsche*",Meetings!H4:H11)</f>
        <v>0.14027777777777778</v>
      </c>
      <c r="I8" s="192">
        <f>SUM(C8:H9)</f>
        <v>0.69930555555555562</v>
      </c>
      <c r="K8" t="s">
        <v>380</v>
      </c>
      <c r="L8" s="81">
        <v>1.7361111111111112E-2</v>
      </c>
      <c r="M8" t="s">
        <v>350</v>
      </c>
      <c r="N8" s="81">
        <v>0.16666666666666666</v>
      </c>
      <c r="O8" t="s">
        <v>303</v>
      </c>
      <c r="P8" s="81">
        <v>0.16458333333333333</v>
      </c>
      <c r="Q8" t="s">
        <v>283</v>
      </c>
      <c r="R8" s="81">
        <v>0.12986111111111112</v>
      </c>
      <c r="S8" t="s">
        <v>256</v>
      </c>
      <c r="T8" s="81">
        <v>6.0416666666666667E-2</v>
      </c>
      <c r="U8" t="s">
        <v>207</v>
      </c>
      <c r="V8" s="81">
        <v>2.7777777777777776E-2</v>
      </c>
      <c r="W8" s="86" t="s">
        <v>148</v>
      </c>
      <c r="X8" s="81">
        <v>0.31944444444444448</v>
      </c>
      <c r="Y8" t="s">
        <v>106</v>
      </c>
      <c r="Z8" s="81">
        <v>2.0833333333333332E-2</v>
      </c>
      <c r="AA8" s="2" t="s">
        <v>67</v>
      </c>
      <c r="AB8" s="85">
        <v>0.10069444444444443</v>
      </c>
    </row>
    <row r="9" spans="1:28" x14ac:dyDescent="0.25">
      <c r="B9" s="195"/>
      <c r="C9" s="194"/>
      <c r="D9" s="194"/>
      <c r="E9" s="194"/>
      <c r="F9" s="194"/>
      <c r="G9" s="194"/>
      <c r="H9" s="194"/>
      <c r="I9" s="192"/>
      <c r="K9" t="s">
        <v>382</v>
      </c>
      <c r="L9" s="81">
        <v>8.0555555555555561E-2</v>
      </c>
      <c r="M9" t="s">
        <v>351</v>
      </c>
      <c r="N9" s="81">
        <v>0.15625</v>
      </c>
      <c r="O9" t="s">
        <v>304</v>
      </c>
      <c r="P9" s="81">
        <v>8.9583333333333334E-2</v>
      </c>
      <c r="Q9" t="s">
        <v>288</v>
      </c>
      <c r="R9" s="81">
        <v>4.5833333333333337E-2</v>
      </c>
      <c r="S9" t="s">
        <v>257</v>
      </c>
      <c r="T9" s="81">
        <v>1.3888888888888888E-2</v>
      </c>
      <c r="U9" t="s">
        <v>208</v>
      </c>
      <c r="V9" s="81">
        <v>6.9444444444444434E-2</v>
      </c>
      <c r="W9" s="87" t="s">
        <v>149</v>
      </c>
      <c r="X9" s="81">
        <v>1.3888888888888888E-2</v>
      </c>
      <c r="Y9" t="s">
        <v>107</v>
      </c>
      <c r="Z9" s="81">
        <v>0.12152777777777778</v>
      </c>
    </row>
    <row r="10" spans="1:28" x14ac:dyDescent="0.25">
      <c r="B10" s="195" t="s">
        <v>3</v>
      </c>
      <c r="C10" s="194">
        <f>SUMIF(U:U,"*[Implementierung]*",V:V)</f>
        <v>0.37361111111111112</v>
      </c>
      <c r="D10" s="194">
        <f>SUMIF(U:U,"*[Testen]*",V:V)</f>
        <v>0</v>
      </c>
      <c r="E10" s="194">
        <f>SUMIF(U:U,"*[Entwurf]*",V:V)</f>
        <v>0</v>
      </c>
      <c r="F10" s="194">
        <f>SUMIF(U:U,"*[Recherche]*",V:V)</f>
        <v>4.7222222222222221E-2</v>
      </c>
      <c r="G10" s="194">
        <f>SUMIF(U:U,"*[Organisation]*",V:V)</f>
        <v>6.9444444444444434E-2</v>
      </c>
      <c r="H10" s="194">
        <f>SUMIF(Meetings!L4:L11,"*Gutsche*",Meetings!K4:K11)</f>
        <v>7.6388888888888881E-2</v>
      </c>
      <c r="I10" s="192">
        <f>SUM(C10:H11)</f>
        <v>0.56666666666666665</v>
      </c>
      <c r="K10" t="s">
        <v>383</v>
      </c>
      <c r="L10" s="81">
        <v>4.8611111111111112E-2</v>
      </c>
      <c r="O10" t="s">
        <v>306</v>
      </c>
      <c r="P10" s="81">
        <v>8.3333333333333329E-2</v>
      </c>
      <c r="Q10" t="s">
        <v>286</v>
      </c>
      <c r="R10" s="81">
        <v>0.11180555555555556</v>
      </c>
      <c r="U10" t="s">
        <v>209</v>
      </c>
      <c r="V10" s="81">
        <v>2.7777777777777776E-2</v>
      </c>
      <c r="W10" s="87" t="s">
        <v>150</v>
      </c>
      <c r="X10" s="81">
        <v>3.4722222222222224E-2</v>
      </c>
      <c r="Y10" t="s">
        <v>108</v>
      </c>
      <c r="Z10" s="81">
        <v>0.16180555555555556</v>
      </c>
    </row>
    <row r="11" spans="1:28" x14ac:dyDescent="0.25">
      <c r="B11" s="195"/>
      <c r="C11" s="194"/>
      <c r="D11" s="194"/>
      <c r="E11" s="194"/>
      <c r="F11" s="194"/>
      <c r="G11" s="194"/>
      <c r="H11" s="194"/>
      <c r="I11" s="192"/>
      <c r="K11" t="s">
        <v>386</v>
      </c>
      <c r="L11" s="81">
        <v>0.13819444444444443</v>
      </c>
      <c r="O11" t="s">
        <v>321</v>
      </c>
      <c r="P11" s="81">
        <v>9.7222222222222224E-2</v>
      </c>
      <c r="Q11" s="35" t="s">
        <v>256</v>
      </c>
      <c r="R11" s="81">
        <v>1.8055555555555557E-2</v>
      </c>
      <c r="U11" t="s">
        <v>210</v>
      </c>
      <c r="V11" s="81">
        <v>4.7222222222222221E-2</v>
      </c>
      <c r="W11" s="87" t="s">
        <v>149</v>
      </c>
      <c r="X11" s="81">
        <v>1.0416666666666666E-2</v>
      </c>
      <c r="Y11" t="s">
        <v>87</v>
      </c>
      <c r="Z11" s="81">
        <v>6.25E-2</v>
      </c>
    </row>
    <row r="12" spans="1:28" x14ac:dyDescent="0.25">
      <c r="B12" s="195" t="s">
        <v>4</v>
      </c>
      <c r="C12" s="194">
        <f>SUMIF(S:S,"*[Implementierung]*",T:T)</f>
        <v>0.37986111111111109</v>
      </c>
      <c r="D12" s="194">
        <f>SUMIF(S:S,"*[Testen]*",T:T)</f>
        <v>0</v>
      </c>
      <c r="E12" s="194">
        <f>SUMIF(S:S,"*[Entwurf]*",T:T)</f>
        <v>0</v>
      </c>
      <c r="F12" s="194">
        <f>SUMIF(S:S,"*[Recherche]*",T:T)</f>
        <v>0</v>
      </c>
      <c r="G12" s="194">
        <f>SUMIF(S:S,"*[Organisation]*",T:T)</f>
        <v>7.2916666666666671E-2</v>
      </c>
      <c r="H12" s="194">
        <f>SUMIF(Meetings!O4:O11,"*Gutsche*",Meetings!N4:N11)</f>
        <v>6.041666666666666E-2</v>
      </c>
      <c r="I12" s="192">
        <f>SUM(C12:H13)</f>
        <v>0.5131944444444444</v>
      </c>
      <c r="K12" t="s">
        <v>387</v>
      </c>
      <c r="L12" s="81">
        <v>3.4722222222222224E-2</v>
      </c>
      <c r="O12" t="s">
        <v>315</v>
      </c>
      <c r="P12" s="81">
        <v>1.7361111111111112E-2</v>
      </c>
      <c r="U12" t="s">
        <v>211</v>
      </c>
      <c r="V12" s="81">
        <v>1.7361111111111112E-2</v>
      </c>
      <c r="W12" s="87" t="s">
        <v>151</v>
      </c>
      <c r="X12" s="81">
        <v>5.2083333333333336E-2</v>
      </c>
    </row>
    <row r="13" spans="1:28" x14ac:dyDescent="0.25">
      <c r="B13" s="195"/>
      <c r="C13" s="194"/>
      <c r="D13" s="194"/>
      <c r="E13" s="194"/>
      <c r="F13" s="194"/>
      <c r="G13" s="194"/>
      <c r="H13" s="194"/>
      <c r="I13" s="192"/>
      <c r="O13" t="s">
        <v>316</v>
      </c>
      <c r="P13" s="81">
        <v>0.20902777777777778</v>
      </c>
      <c r="U13" t="s">
        <v>206</v>
      </c>
      <c r="V13" s="81">
        <v>8.1944444444444445E-2</v>
      </c>
      <c r="W13" s="87" t="s">
        <v>152</v>
      </c>
      <c r="X13" s="81">
        <v>6.25E-2</v>
      </c>
    </row>
    <row r="14" spans="1:28" x14ac:dyDescent="0.25">
      <c r="B14" s="195" t="s">
        <v>5</v>
      </c>
      <c r="C14" s="194">
        <f>SUMIF(Q:Q,"*[Implementierung]*",R:R)</f>
        <v>0.3298611111111111</v>
      </c>
      <c r="D14" s="194">
        <f>SUMIF(Q:Q,"*[Testen]*",R:R)</f>
        <v>0</v>
      </c>
      <c r="E14" s="194">
        <f>SUMIF(Q:Q,"*[Entwurf]*",R:R)</f>
        <v>0</v>
      </c>
      <c r="F14" s="194">
        <f>SUMIF(Q:Q,"*[Recherche]*",R:R)</f>
        <v>0</v>
      </c>
      <c r="G14" s="194">
        <f>SUMIF(Q:Q,"*[Organisation]*",R:R)</f>
        <v>8.6805555555555552E-2</v>
      </c>
      <c r="H14" s="194">
        <f>SUMIF(Meetings!R4:R11,"*Gutsche*",Meetings!Q4:Q11)</f>
        <v>0.11458333333333331</v>
      </c>
      <c r="I14" s="192">
        <f>SUM(C14:H15)</f>
        <v>0.53125</v>
      </c>
      <c r="O14" t="s">
        <v>317</v>
      </c>
      <c r="P14" s="81">
        <v>5.0694444444444452E-2</v>
      </c>
    </row>
    <row r="15" spans="1:28" x14ac:dyDescent="0.25">
      <c r="B15" s="195"/>
      <c r="C15" s="194"/>
      <c r="D15" s="194"/>
      <c r="E15" s="194"/>
      <c r="F15" s="194"/>
      <c r="G15" s="194"/>
      <c r="H15" s="194"/>
      <c r="I15" s="192"/>
    </row>
    <row r="16" spans="1:28" x14ac:dyDescent="0.25">
      <c r="B16" s="195" t="s">
        <v>6</v>
      </c>
      <c r="C16" s="194">
        <f>SUMIF(O:O,"*[Implementierung]*",P:P)</f>
        <v>0.68611111111111112</v>
      </c>
      <c r="D16" s="194">
        <f>SUMIF(O:O,"*[Testen]*",P:P)</f>
        <v>0</v>
      </c>
      <c r="E16" s="194">
        <f>SUMIF(O:O,"*[Entwurf]*",P:P)</f>
        <v>0</v>
      </c>
      <c r="F16" s="194">
        <f>SUMIF(O:O,"*[Recherche]*",P:P)</f>
        <v>0</v>
      </c>
      <c r="G16" s="194">
        <f>SUMIF(O:O,"*[Organisation]*",P:P)</f>
        <v>0.2048611111111111</v>
      </c>
      <c r="H16" s="194">
        <f>SUMIF(Meetings!U4:U11,"*Gutsche*",Meetings!T4:T11)</f>
        <v>7.6388888888888895E-2</v>
      </c>
      <c r="I16" s="192">
        <f>SUM(C16:H17)</f>
        <v>0.96736111111111112</v>
      </c>
    </row>
    <row r="17" spans="2:9" x14ac:dyDescent="0.25">
      <c r="B17" s="195"/>
      <c r="C17" s="194"/>
      <c r="D17" s="194"/>
      <c r="E17" s="194"/>
      <c r="F17" s="194"/>
      <c r="G17" s="194"/>
      <c r="H17" s="194"/>
      <c r="I17" s="192"/>
    </row>
    <row r="18" spans="2:9" x14ac:dyDescent="0.25">
      <c r="B18" s="195" t="s">
        <v>28</v>
      </c>
      <c r="C18" s="194">
        <f>SUMIF(M:M,"*[Implementierung]*",N:N)</f>
        <v>0.3576388888888889</v>
      </c>
      <c r="D18" s="194">
        <f>SUMIF(M:M,"*[Testen]*",N:N)</f>
        <v>0</v>
      </c>
      <c r="E18" s="194">
        <f>SUMIF(M:M,"*[Entwurf]*",N:N)</f>
        <v>0</v>
      </c>
      <c r="F18" s="194">
        <f>SUMIF(M:M,"*[Recherche]*",N:N)</f>
        <v>8.2638888888888887E-2</v>
      </c>
      <c r="G18" s="194">
        <f>SUMIF(M:M,"*[Organisation]*",N:N)</f>
        <v>5.5555555555555552E-2</v>
      </c>
      <c r="H18" s="194">
        <f>SUMIF(Meetings!C14:C21,"*Gutsche*",Meetings!B14:B21)</f>
        <v>0.2326388888888889</v>
      </c>
      <c r="I18" s="192">
        <f>SUM(C18:H19)</f>
        <v>0.72847222222222219</v>
      </c>
    </row>
    <row r="19" spans="2:9" x14ac:dyDescent="0.25">
      <c r="B19" s="195"/>
      <c r="C19" s="194"/>
      <c r="D19" s="194"/>
      <c r="E19" s="194"/>
      <c r="F19" s="194"/>
      <c r="G19" s="194"/>
      <c r="H19" s="194"/>
      <c r="I19" s="192"/>
    </row>
    <row r="20" spans="2:9" x14ac:dyDescent="0.25">
      <c r="B20" s="195" t="s">
        <v>29</v>
      </c>
      <c r="C20" s="194">
        <f>SUMIF(K:K,"*[Implementierung]*",L:L)</f>
        <v>0.54791666666666661</v>
      </c>
      <c r="D20" s="194">
        <f>SUMIF(K:K,"*[Testen]*",L:L)</f>
        <v>0</v>
      </c>
      <c r="E20" s="194">
        <f>SUMIF(K:K,"*[Entwurf]*",L:L)</f>
        <v>0</v>
      </c>
      <c r="F20" s="194">
        <f>SUMIF(K:K,"*[Recherche]*",L:L)</f>
        <v>0</v>
      </c>
      <c r="G20" s="194">
        <f>SUMIF(K:K,"*[Organisation]*",L:L)</f>
        <v>3.4722222222222224E-2</v>
      </c>
      <c r="H20" s="194">
        <f>SUMIF(Meetings!F14:F21,"*Gutsche*",Meetings!E14:E21)</f>
        <v>0.10416666666666666</v>
      </c>
      <c r="I20" s="192">
        <f>SUM(C20:H21)</f>
        <v>0.68680555555555545</v>
      </c>
    </row>
    <row r="21" spans="2:9" x14ac:dyDescent="0.25">
      <c r="B21" s="195"/>
      <c r="C21" s="194"/>
      <c r="D21" s="194"/>
      <c r="E21" s="194"/>
      <c r="F21" s="194"/>
      <c r="G21" s="194"/>
      <c r="H21" s="194"/>
      <c r="I21" s="192"/>
    </row>
    <row r="22" spans="2:9" x14ac:dyDescent="0.25">
      <c r="B22" s="195" t="s">
        <v>30</v>
      </c>
      <c r="C22" s="194"/>
      <c r="D22" s="194"/>
      <c r="E22" s="194"/>
      <c r="F22" s="194"/>
      <c r="G22" s="194"/>
      <c r="H22" s="194">
        <f>SUMIF(Meetings!I14:I21,"*Gutsche*",Meetings!H14:H21)</f>
        <v>2.7777777777777776E-2</v>
      </c>
      <c r="I22" s="192">
        <f>SUM(C22:H23)</f>
        <v>2.7777777777777776E-2</v>
      </c>
    </row>
    <row r="23" spans="2:9" x14ac:dyDescent="0.25">
      <c r="B23" s="195"/>
      <c r="C23" s="194"/>
      <c r="D23" s="194"/>
      <c r="E23" s="194"/>
      <c r="F23" s="194"/>
      <c r="G23" s="194"/>
      <c r="H23" s="194"/>
      <c r="I23" s="192"/>
    </row>
    <row r="24" spans="2:9" x14ac:dyDescent="0.25">
      <c r="B24" s="195" t="s">
        <v>31</v>
      </c>
      <c r="C24" s="194"/>
      <c r="D24" s="194"/>
      <c r="E24" s="194"/>
      <c r="F24" s="194"/>
      <c r="G24" s="194"/>
      <c r="H24" s="194">
        <f>SUMIF(Meetings!L14:L21,"*Gutsche*",Meetings!K14:K21)</f>
        <v>3.4722222222222224E-2</v>
      </c>
      <c r="I24" s="192">
        <f>SUM(C24:H25)</f>
        <v>3.4722222222222224E-2</v>
      </c>
    </row>
    <row r="25" spans="2:9" x14ac:dyDescent="0.25">
      <c r="B25" s="195"/>
      <c r="C25" s="194"/>
      <c r="D25" s="194"/>
      <c r="E25" s="194"/>
      <c r="F25" s="194"/>
      <c r="G25" s="194"/>
      <c r="H25" s="194"/>
      <c r="I25" s="192"/>
    </row>
    <row r="26" spans="2:9" x14ac:dyDescent="0.25">
      <c r="B26" s="195" t="s">
        <v>32</v>
      </c>
      <c r="C26" s="194"/>
      <c r="D26" s="194"/>
      <c r="E26" s="194"/>
      <c r="F26" s="194"/>
      <c r="G26" s="194"/>
      <c r="H26" s="194">
        <f>SUMIF(Meetings!O14:O21,"*Gutsche*",Meetings!N14:N21)</f>
        <v>3.4722222222222224E-2</v>
      </c>
      <c r="I26" s="192">
        <f>SUM(C26:H27)</f>
        <v>3.4722222222222224E-2</v>
      </c>
    </row>
    <row r="27" spans="2:9" x14ac:dyDescent="0.25">
      <c r="B27" s="195"/>
      <c r="C27" s="194"/>
      <c r="D27" s="194"/>
      <c r="E27" s="194"/>
      <c r="F27" s="194"/>
      <c r="G27" s="194"/>
      <c r="H27" s="194"/>
      <c r="I27" s="192"/>
    </row>
    <row r="28" spans="2:9" x14ac:dyDescent="0.25">
      <c r="B28" s="195" t="s">
        <v>33</v>
      </c>
      <c r="C28" s="194"/>
      <c r="D28" s="194"/>
      <c r="E28" s="194"/>
      <c r="F28" s="194"/>
      <c r="G28" s="194"/>
      <c r="H28" s="194">
        <f>SUMIF(Meetings!R14:R21,"*Gutsche*",Meetings!Q14:Q21)</f>
        <v>3.4722222222222224E-2</v>
      </c>
      <c r="I28" s="192">
        <f>SUM(C28:H29)</f>
        <v>3.4722222222222224E-2</v>
      </c>
    </row>
    <row r="29" spans="2:9" x14ac:dyDescent="0.25">
      <c r="B29" s="195"/>
      <c r="C29" s="194"/>
      <c r="D29" s="194"/>
      <c r="E29" s="194"/>
      <c r="F29" s="194"/>
      <c r="G29" s="194"/>
      <c r="H29" s="194"/>
      <c r="I29" s="192"/>
    </row>
    <row r="30" spans="2:9" x14ac:dyDescent="0.25">
      <c r="B30" s="195" t="s">
        <v>34</v>
      </c>
      <c r="C30" s="194"/>
      <c r="D30" s="194"/>
      <c r="E30" s="194"/>
      <c r="F30" s="194"/>
      <c r="G30" s="194"/>
      <c r="H30" s="194">
        <f>SUMIF(Meetings!U14:U21,"*Gutsche*",Meetings!T14:T21)</f>
        <v>3.4722222222222224E-2</v>
      </c>
      <c r="I30" s="192">
        <f>SUM(C30:H31)</f>
        <v>3.4722222222222224E-2</v>
      </c>
    </row>
    <row r="31" spans="2:9" x14ac:dyDescent="0.25">
      <c r="B31" s="195"/>
      <c r="C31" s="194"/>
      <c r="D31" s="194"/>
      <c r="E31" s="194"/>
      <c r="F31" s="194"/>
      <c r="G31" s="194"/>
      <c r="H31" s="194"/>
      <c r="I31" s="193"/>
    </row>
    <row r="32" spans="2:9" x14ac:dyDescent="0.25">
      <c r="B32" s="195" t="s">
        <v>392</v>
      </c>
      <c r="C32" s="194"/>
      <c r="D32" s="194"/>
      <c r="E32" s="194"/>
      <c r="F32" s="194"/>
      <c r="G32" s="194"/>
      <c r="H32" s="194">
        <f>SUMIF(Meetings!C24:C31,"*Gutsche*",Meetings!B24:B31)</f>
        <v>3.4722222222222224E-2</v>
      </c>
      <c r="I32" s="192">
        <f>SUM(C32:H33)</f>
        <v>3.4722222222222224E-2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>
        <f>SUMIF(Meetings!F24:F31,"*Gutsche*",Meetings!E24:E31)</f>
        <v>3.4722222222222224E-2</v>
      </c>
      <c r="I34" s="192">
        <f>SUM(C34:H35)</f>
        <v>3.4722222222222224E-2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>
        <f>SUMIF(Meetings!I24:I31,"*Gutsche*",Meetings!H24:H31)</f>
        <v>3.4722222222222224E-2</v>
      </c>
      <c r="I36" s="192">
        <f>SUM(C36:H37)</f>
        <v>3.4722222222222224E-2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3.6319444444444442</v>
      </c>
      <c r="D38" s="192">
        <f t="shared" si="0"/>
        <v>0</v>
      </c>
      <c r="E38" s="192">
        <f t="shared" si="0"/>
        <v>7.2916666666666671E-2</v>
      </c>
      <c r="F38" s="192">
        <f t="shared" si="0"/>
        <v>0.60902777777777772</v>
      </c>
      <c r="G38" s="192">
        <f t="shared" si="0"/>
        <v>0.62847222222222221</v>
      </c>
      <c r="H38" s="196">
        <f t="shared" si="0"/>
        <v>1.3326388888888892</v>
      </c>
      <c r="I38" s="198">
        <f>SUM(C38:H39)</f>
        <v>6.2749999999999995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5"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7F55-D1AF-49ED-A302-52173CF36852}">
  <sheetPr codeName="Tabelle4"/>
  <dimension ref="A1:AB39"/>
  <sheetViews>
    <sheetView topLeftCell="A4" workbookViewId="0">
      <selection activeCell="H38" sqref="H38:H39"/>
    </sheetView>
  </sheetViews>
  <sheetFormatPr baseColWidth="10" defaultRowHeight="15" x14ac:dyDescent="0.25"/>
  <cols>
    <col min="3" max="3" width="17.42578125" customWidth="1"/>
    <col min="11" max="11" width="56.28515625" customWidth="1"/>
    <col min="13" max="13" width="45" customWidth="1"/>
  </cols>
  <sheetData>
    <row r="1" spans="1:28" ht="26.25" x14ac:dyDescent="0.4">
      <c r="A1" s="189" t="s">
        <v>54</v>
      </c>
      <c r="B1" s="189"/>
      <c r="C1" s="189"/>
      <c r="K1" s="50" t="s">
        <v>56</v>
      </c>
      <c r="L1" s="2"/>
    </row>
    <row r="3" spans="1:28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29</v>
      </c>
      <c r="L3" s="58"/>
      <c r="M3" s="58" t="s">
        <v>28</v>
      </c>
      <c r="N3" s="58"/>
      <c r="O3" s="58" t="s">
        <v>6</v>
      </c>
      <c r="P3" s="58"/>
      <c r="Q3" s="58" t="s">
        <v>5</v>
      </c>
      <c r="R3" s="58"/>
      <c r="S3" s="58" t="s">
        <v>4</v>
      </c>
      <c r="T3" s="58"/>
      <c r="U3" s="58" t="s">
        <v>3</v>
      </c>
      <c r="V3" s="58"/>
      <c r="W3" s="58" t="s">
        <v>2</v>
      </c>
      <c r="X3" s="58"/>
      <c r="Y3" s="58" t="s">
        <v>1</v>
      </c>
      <c r="Z3" s="58"/>
      <c r="AA3" s="47" t="s">
        <v>37</v>
      </c>
      <c r="AB3" s="47"/>
    </row>
    <row r="4" spans="1:28" x14ac:dyDescent="0.25">
      <c r="B4" s="200" t="s">
        <v>37</v>
      </c>
      <c r="C4" s="187">
        <f>SUMIF(AA:AA,"*[Implementierung]*",AB:AB)</f>
        <v>0</v>
      </c>
      <c r="D4" s="187">
        <f>SUMIF(AA:AA,"*[Testen]*",AB:AB)</f>
        <v>0</v>
      </c>
      <c r="E4" s="187">
        <f>SUMIF(AA:AA,"*[Entwurf]*",AB:AB)</f>
        <v>0</v>
      </c>
      <c r="F4" s="187">
        <f>SUMIF(AA:AA,"*[Recherche]*",AB:AB)</f>
        <v>0.33333333333333331</v>
      </c>
      <c r="G4" s="187">
        <f>SUMIF(AA:AA,"*[Organisation]*",AB:AB)</f>
        <v>0</v>
      </c>
      <c r="H4" s="187">
        <f>SUMIF(Meetings!C4:C11,"*Lapp*",Meetings!B4:B11)</f>
        <v>0.29166666666666669</v>
      </c>
      <c r="I4" s="192">
        <f>SUM(C4:H5)</f>
        <v>0.625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  <c r="Y4" s="48" t="s">
        <v>59</v>
      </c>
      <c r="Z4" s="48" t="s">
        <v>60</v>
      </c>
      <c r="AA4" s="48" t="s">
        <v>59</v>
      </c>
      <c r="AB4" s="48" t="s">
        <v>60</v>
      </c>
    </row>
    <row r="5" spans="1:28" x14ac:dyDescent="0.25">
      <c r="B5" s="201"/>
      <c r="C5" s="187"/>
      <c r="D5" s="187"/>
      <c r="E5" s="187"/>
      <c r="F5" s="187"/>
      <c r="G5" s="187"/>
      <c r="H5" s="187"/>
      <c r="I5" s="192"/>
      <c r="K5" t="s">
        <v>359</v>
      </c>
      <c r="L5" s="81">
        <v>6.9444444444444434E-2</v>
      </c>
      <c r="M5" t="s">
        <v>329</v>
      </c>
      <c r="N5" s="81">
        <v>5.2083333333333336E-2</v>
      </c>
      <c r="O5" t="s">
        <v>284</v>
      </c>
      <c r="P5" s="81">
        <v>0.1875</v>
      </c>
      <c r="Q5" t="s">
        <v>272</v>
      </c>
      <c r="R5" s="81">
        <v>8.3333333333333329E-2</v>
      </c>
      <c r="S5" t="s">
        <v>236</v>
      </c>
      <c r="T5" s="81">
        <v>2.7777777777777776E-2</v>
      </c>
      <c r="U5" t="s">
        <v>212</v>
      </c>
      <c r="V5" s="81">
        <v>8.3333333333333329E-2</v>
      </c>
      <c r="W5" t="s">
        <v>145</v>
      </c>
      <c r="X5" s="81">
        <v>4.1666666666666664E-2</v>
      </c>
      <c r="Y5" t="s">
        <v>109</v>
      </c>
      <c r="Z5" s="81">
        <v>8.3333333333333329E-2</v>
      </c>
      <c r="AA5" s="2" t="s">
        <v>68</v>
      </c>
      <c r="AB5" s="85">
        <v>0.16666666666666666</v>
      </c>
    </row>
    <row r="6" spans="1:28" x14ac:dyDescent="0.25">
      <c r="B6" s="195" t="s">
        <v>1</v>
      </c>
      <c r="C6" s="194">
        <f>SUMIF(Y:Y,"*[Implementierung]*",Z:Z)</f>
        <v>0.41319444444444448</v>
      </c>
      <c r="D6" s="194">
        <f>SUMIF(Y:Y,"*[Testen]*",Z:Z)</f>
        <v>7.2916666666666671E-2</v>
      </c>
      <c r="E6" s="194">
        <f>SUMIF(Y:Y,"*[Entwurf]*",Z:Z)</f>
        <v>0.21875</v>
      </c>
      <c r="F6" s="194">
        <f>SUMIF(Y:Y,"*[Recherche]*",Z:Z)</f>
        <v>8.3333333333333329E-2</v>
      </c>
      <c r="G6" s="194">
        <f>SUMIF(Y:Y,"*[Organisation]*",Z:Z)</f>
        <v>0</v>
      </c>
      <c r="H6" s="194">
        <f>SUMIF(Meetings!F4:F11,"*Lapp*",Meetings!E4:E11)</f>
        <v>6.9444444444444448E-2</v>
      </c>
      <c r="I6" s="192">
        <f>SUM(C6:H7)</f>
        <v>0.85763888888888895</v>
      </c>
      <c r="K6" t="s">
        <v>360</v>
      </c>
      <c r="L6" s="81">
        <v>0.13541666666666666</v>
      </c>
      <c r="M6" t="s">
        <v>327</v>
      </c>
      <c r="N6" s="81">
        <v>0.10416666666666667</v>
      </c>
      <c r="O6" t="s">
        <v>293</v>
      </c>
      <c r="P6" s="81">
        <v>2.4305555555555556E-2</v>
      </c>
      <c r="Q6" t="s">
        <v>273</v>
      </c>
      <c r="R6" s="81">
        <v>4.1666666666666664E-2</v>
      </c>
      <c r="S6" t="s">
        <v>237</v>
      </c>
      <c r="T6" s="81">
        <v>0.10416666666666667</v>
      </c>
      <c r="U6" t="s">
        <v>213</v>
      </c>
      <c r="V6" s="81">
        <v>0.10416666666666667</v>
      </c>
      <c r="W6" t="s">
        <v>153</v>
      </c>
      <c r="X6" s="81">
        <v>0.16666666666666666</v>
      </c>
      <c r="Y6" t="s">
        <v>110</v>
      </c>
      <c r="Z6" s="81">
        <v>4.1666666666666664E-2</v>
      </c>
      <c r="AA6" s="2" t="s">
        <v>69</v>
      </c>
      <c r="AB6" s="85">
        <v>0.16666666666666666</v>
      </c>
    </row>
    <row r="7" spans="1:28" x14ac:dyDescent="0.25">
      <c r="B7" s="195"/>
      <c r="C7" s="194"/>
      <c r="D7" s="194"/>
      <c r="E7" s="194"/>
      <c r="F7" s="194"/>
      <c r="G7" s="194"/>
      <c r="H7" s="194"/>
      <c r="I7" s="192"/>
      <c r="K7" t="s">
        <v>361</v>
      </c>
      <c r="L7" s="81">
        <v>6.25E-2</v>
      </c>
      <c r="M7" t="s">
        <v>334</v>
      </c>
      <c r="N7" s="81">
        <v>4.1666666666666664E-2</v>
      </c>
      <c r="O7" t="s">
        <v>300</v>
      </c>
      <c r="P7" s="81">
        <v>0.10416666666666667</v>
      </c>
      <c r="Q7" t="s">
        <v>274</v>
      </c>
      <c r="R7" s="81">
        <v>4.1666666666666664E-2</v>
      </c>
      <c r="S7" t="s">
        <v>239</v>
      </c>
      <c r="T7" s="81">
        <v>0.10416666666666667</v>
      </c>
      <c r="U7" t="s">
        <v>214</v>
      </c>
      <c r="V7" s="81">
        <v>7.2916666666666671E-2</v>
      </c>
      <c r="W7" t="s">
        <v>154</v>
      </c>
      <c r="X7" s="81">
        <v>0.10416666666666667</v>
      </c>
      <c r="Y7" t="s">
        <v>111</v>
      </c>
      <c r="Z7" s="81">
        <v>8.3333333333333329E-2</v>
      </c>
    </row>
    <row r="8" spans="1:28" x14ac:dyDescent="0.25">
      <c r="B8" s="195" t="s">
        <v>2</v>
      </c>
      <c r="C8" s="194">
        <f>SUMIF(W:W,"*[Implementierung]*",X:X)</f>
        <v>0.63888888888888884</v>
      </c>
      <c r="D8" s="194">
        <f>SUMIF(W:W,"*[Testen]*",X:X)</f>
        <v>2.0833333333333332E-2</v>
      </c>
      <c r="E8" s="194">
        <f>SUMIF(W:W,"*[Entwurf]*",X:X)</f>
        <v>5.2083333333333329E-2</v>
      </c>
      <c r="F8" s="194">
        <f>SUMIF(W:W,"*[Recherche]*",X:X)</f>
        <v>0</v>
      </c>
      <c r="G8" s="194">
        <f>SUMIF(W:W,"*[Organisation]*",X:X)</f>
        <v>5.5555555555555552E-2</v>
      </c>
      <c r="H8" s="194">
        <f>SUMIF(Meetings!I4:I11,"*Lapp*",Meetings!H4:H11)</f>
        <v>0.10416666666666666</v>
      </c>
      <c r="I8" s="192">
        <f>SUM(C8:H9)</f>
        <v>0.87152777777777779</v>
      </c>
      <c r="K8" t="s">
        <v>365</v>
      </c>
      <c r="L8" s="81">
        <v>0.10416666666666667</v>
      </c>
      <c r="M8" t="s">
        <v>337</v>
      </c>
      <c r="N8" s="81">
        <v>0.14583333333333334</v>
      </c>
      <c r="O8" t="s">
        <v>306</v>
      </c>
      <c r="P8" s="81">
        <v>8.3333333333333329E-2</v>
      </c>
      <c r="Q8" t="s">
        <v>275</v>
      </c>
      <c r="R8" s="81">
        <v>0.16666666666666666</v>
      </c>
      <c r="S8" t="s">
        <v>240</v>
      </c>
      <c r="T8" s="81">
        <v>2.7777777777777776E-2</v>
      </c>
      <c r="U8" t="s">
        <v>207</v>
      </c>
      <c r="V8" s="81">
        <v>1.3888888888888888E-2</v>
      </c>
      <c r="W8" t="s">
        <v>155</v>
      </c>
      <c r="X8" s="81">
        <v>1.3888888888888888E-2</v>
      </c>
      <c r="Y8" t="s">
        <v>112</v>
      </c>
      <c r="Z8" s="81">
        <v>2.0833333333333332E-2</v>
      </c>
    </row>
    <row r="9" spans="1:28" x14ac:dyDescent="0.25">
      <c r="B9" s="195"/>
      <c r="C9" s="194"/>
      <c r="D9" s="194"/>
      <c r="E9" s="194"/>
      <c r="F9" s="194"/>
      <c r="G9" s="194"/>
      <c r="H9" s="194"/>
      <c r="I9" s="192"/>
      <c r="K9" t="s">
        <v>366</v>
      </c>
      <c r="L9" s="81">
        <v>8.3333333333333329E-2</v>
      </c>
      <c r="M9" t="s">
        <v>339</v>
      </c>
      <c r="N9" s="81">
        <v>2.7777777777777776E-2</v>
      </c>
      <c r="O9" t="s">
        <v>307</v>
      </c>
      <c r="P9" s="81">
        <v>2.0833333333333332E-2</v>
      </c>
      <c r="Q9" t="s">
        <v>276</v>
      </c>
      <c r="R9" s="81">
        <v>2.7777777777777776E-2</v>
      </c>
      <c r="S9" t="s">
        <v>241</v>
      </c>
      <c r="T9" s="81">
        <v>0.10416666666666667</v>
      </c>
      <c r="U9" t="s">
        <v>215</v>
      </c>
      <c r="V9" s="81">
        <v>0.10416666666666667</v>
      </c>
      <c r="W9" t="s">
        <v>156</v>
      </c>
      <c r="X9" s="81">
        <v>3.125E-2</v>
      </c>
      <c r="Y9" t="s">
        <v>113</v>
      </c>
      <c r="Z9" s="81">
        <v>2.7777777777777776E-2</v>
      </c>
    </row>
    <row r="10" spans="1:28" x14ac:dyDescent="0.25">
      <c r="B10" s="195" t="s">
        <v>3</v>
      </c>
      <c r="C10" s="194">
        <f>SUMIF(U:U,"*[Implementierung]*",V:V)</f>
        <v>0.51388888888888895</v>
      </c>
      <c r="D10" s="194">
        <f>SUMIF(U:U,"*[Testen]*",V:V)</f>
        <v>3.8194444444444448E-2</v>
      </c>
      <c r="E10" s="194">
        <f>SUMIF(U:U,"*[Entwurf]*",V:V)</f>
        <v>0</v>
      </c>
      <c r="F10" s="194">
        <f>SUMIF(U:U,"*[Recherche]*",V:V)</f>
        <v>7.2916666666666671E-2</v>
      </c>
      <c r="G10" s="194">
        <f>SUMIF(U:U,"*[Organisation]*",V:V)</f>
        <v>0</v>
      </c>
      <c r="H10" s="194">
        <f>SUMIF(Meetings!L4:L11,"*Lapp*",Meetings!K4:K11)</f>
        <v>0.10763888888888888</v>
      </c>
      <c r="I10" s="192">
        <f>SUM(C10:H11)</f>
        <v>0.73263888888888884</v>
      </c>
      <c r="K10" t="s">
        <v>367</v>
      </c>
      <c r="L10" s="81">
        <v>6.25E-2</v>
      </c>
      <c r="M10" t="s">
        <v>342</v>
      </c>
      <c r="N10" s="81">
        <v>0.10416666666666667</v>
      </c>
      <c r="O10" t="s">
        <v>308</v>
      </c>
      <c r="P10" s="81">
        <v>0.10416666666666667</v>
      </c>
      <c r="Q10" t="s">
        <v>277</v>
      </c>
      <c r="R10" s="81">
        <v>3.4722222222222224E-2</v>
      </c>
      <c r="S10" t="s">
        <v>249</v>
      </c>
      <c r="T10" s="81">
        <v>0.14583333333333334</v>
      </c>
      <c r="U10" t="s">
        <v>216</v>
      </c>
      <c r="V10" s="81">
        <v>7.2916666666666671E-2</v>
      </c>
      <c r="W10" t="s">
        <v>157</v>
      </c>
      <c r="X10" s="81">
        <v>8.3333333333333329E-2</v>
      </c>
      <c r="Y10" t="s">
        <v>106</v>
      </c>
      <c r="Z10" s="81">
        <v>2.0833333333333332E-2</v>
      </c>
    </row>
    <row r="11" spans="1:28" x14ac:dyDescent="0.25">
      <c r="B11" s="195"/>
      <c r="C11" s="194"/>
      <c r="D11" s="194"/>
      <c r="E11" s="194"/>
      <c r="F11" s="194"/>
      <c r="G11" s="194"/>
      <c r="H11" s="194"/>
      <c r="I11" s="192"/>
      <c r="K11" t="s">
        <v>375</v>
      </c>
      <c r="L11" s="81">
        <v>3.4722222222222224E-2</v>
      </c>
      <c r="M11" t="s">
        <v>344</v>
      </c>
      <c r="N11" s="81">
        <v>2.7777777777777776E-2</v>
      </c>
      <c r="O11" s="2" t="s">
        <v>233</v>
      </c>
      <c r="P11" s="81">
        <v>3.472222222222222E-3</v>
      </c>
      <c r="Q11" t="s">
        <v>284</v>
      </c>
      <c r="R11" s="81">
        <v>0.10416666666666667</v>
      </c>
      <c r="S11" t="s">
        <v>250</v>
      </c>
      <c r="T11" s="81">
        <v>6.25E-2</v>
      </c>
      <c r="U11" t="s">
        <v>217</v>
      </c>
      <c r="V11" s="81">
        <v>0.13541666666666666</v>
      </c>
      <c r="W11" t="s">
        <v>158</v>
      </c>
      <c r="X11" s="81">
        <v>2.0833333333333332E-2</v>
      </c>
      <c r="Y11" t="s">
        <v>114</v>
      </c>
      <c r="Z11" s="81">
        <v>3.125E-2</v>
      </c>
    </row>
    <row r="12" spans="1:28" x14ac:dyDescent="0.25">
      <c r="B12" s="195" t="s">
        <v>4</v>
      </c>
      <c r="C12" s="194">
        <f>SUMIF(S:S,"*[Implementierung]*",T:T)</f>
        <v>0.43055555555555558</v>
      </c>
      <c r="D12" s="194">
        <f>SUMIF(S:S,"*[Testen]*",T:T)</f>
        <v>0</v>
      </c>
      <c r="E12" s="194">
        <f>SUMIF(S:S,"*[Entwurf]*",T:T)</f>
        <v>0</v>
      </c>
      <c r="F12" s="194">
        <f>SUMIF(S:S,"*[Recherche]*",T:T)</f>
        <v>0.25</v>
      </c>
      <c r="G12" s="194">
        <f>SUMIF(S:S,"*[Organisation]*",T:T)</f>
        <v>1.7361111111111112E-2</v>
      </c>
      <c r="H12" s="194">
        <f>SUMIF(Meetings!O4:O11,"*Lapp*",Meetings!N4:N11)</f>
        <v>8.1249999999999989E-2</v>
      </c>
      <c r="I12" s="192">
        <f>SUM(C12:H13)</f>
        <v>0.77916666666666679</v>
      </c>
      <c r="K12" t="s">
        <v>386</v>
      </c>
      <c r="L12" s="81">
        <v>8.3333333333333329E-2</v>
      </c>
      <c r="M12" t="s">
        <v>345</v>
      </c>
      <c r="N12" s="81">
        <v>8.3333333333333329E-2</v>
      </c>
      <c r="O12" t="s">
        <v>323</v>
      </c>
      <c r="P12" s="81">
        <v>0.11458333333333333</v>
      </c>
      <c r="Q12" s="2" t="s">
        <v>233</v>
      </c>
      <c r="R12" s="81">
        <v>9.0277777777777776E-2</v>
      </c>
      <c r="S12" t="s">
        <v>251</v>
      </c>
      <c r="T12" s="81">
        <v>0.10416666666666667</v>
      </c>
      <c r="U12" t="s">
        <v>218</v>
      </c>
      <c r="V12" s="81">
        <v>3.125E-2</v>
      </c>
      <c r="W12" t="s">
        <v>159</v>
      </c>
      <c r="X12" s="81">
        <v>3.125E-2</v>
      </c>
      <c r="Y12" t="s">
        <v>115</v>
      </c>
      <c r="Z12" s="81">
        <v>0.10416666666666667</v>
      </c>
    </row>
    <row r="13" spans="1:28" x14ac:dyDescent="0.25">
      <c r="B13" s="195"/>
      <c r="C13" s="194"/>
      <c r="D13" s="194"/>
      <c r="E13" s="194"/>
      <c r="F13" s="194"/>
      <c r="G13" s="194"/>
      <c r="H13" s="194"/>
      <c r="I13" s="192"/>
      <c r="K13" s="2" t="s">
        <v>233</v>
      </c>
      <c r="L13" s="81">
        <v>1.0416666666666666E-2</v>
      </c>
      <c r="M13" t="s">
        <v>346</v>
      </c>
      <c r="N13" s="81">
        <v>8.3333333333333329E-2</v>
      </c>
      <c r="S13" t="s">
        <v>255</v>
      </c>
      <c r="T13" s="81">
        <v>1.7361111111111112E-2</v>
      </c>
      <c r="U13" t="s">
        <v>233</v>
      </c>
      <c r="V13" s="81">
        <v>6.9444444444444441E-3</v>
      </c>
      <c r="W13" t="s">
        <v>160</v>
      </c>
      <c r="X13" s="81">
        <v>1.3888888888888888E-2</v>
      </c>
      <c r="Y13" t="s">
        <v>116</v>
      </c>
      <c r="Z13" s="81">
        <v>7.2916666666666671E-2</v>
      </c>
    </row>
    <row r="14" spans="1:28" x14ac:dyDescent="0.25">
      <c r="B14" s="195" t="s">
        <v>5</v>
      </c>
      <c r="C14" s="194">
        <f>SUMIF(Q:Q,"*[Implementierung]*",R:R)</f>
        <v>0.4236111111111111</v>
      </c>
      <c r="D14" s="194">
        <f>SUMIF(Q:Q,"*[Testen]*",R:R)</f>
        <v>9.0277777777777776E-2</v>
      </c>
      <c r="E14" s="194">
        <f>SUMIF(Q:Q,"*[Entwurf]*",R:R)</f>
        <v>4.1666666666666664E-2</v>
      </c>
      <c r="F14" s="194">
        <f>SUMIF(Q:Q,"*[Recherche]*",R:R)</f>
        <v>0</v>
      </c>
      <c r="G14" s="194">
        <f>SUMIF(Q:Q,"*[Organisation]*",R:R)</f>
        <v>3.4722222222222224E-2</v>
      </c>
      <c r="H14" s="194">
        <f>SUMIF(Meetings!R4:R11,"*Lapp*",Meetings!Q4:Q11)</f>
        <v>0.12847222222222221</v>
      </c>
      <c r="I14" s="192">
        <f>SUM(C14:H15)</f>
        <v>0.71874999999999989</v>
      </c>
      <c r="M14" s="2" t="s">
        <v>233</v>
      </c>
      <c r="N14" s="81">
        <v>5.4166666666666669E-2</v>
      </c>
      <c r="W14" t="s">
        <v>161</v>
      </c>
      <c r="X14" s="81">
        <v>2.7777777777777776E-2</v>
      </c>
      <c r="Y14" t="s">
        <v>117</v>
      </c>
      <c r="Z14" s="81">
        <v>1.0416666666666666E-2</v>
      </c>
    </row>
    <row r="15" spans="1:28" x14ac:dyDescent="0.25">
      <c r="B15" s="195"/>
      <c r="C15" s="194"/>
      <c r="D15" s="194"/>
      <c r="E15" s="194"/>
      <c r="F15" s="194"/>
      <c r="G15" s="194"/>
      <c r="H15" s="194"/>
      <c r="I15" s="192"/>
      <c r="W15" t="s">
        <v>162</v>
      </c>
      <c r="X15" s="81">
        <v>6.25E-2</v>
      </c>
      <c r="Y15" t="s">
        <v>118</v>
      </c>
      <c r="Z15" s="46">
        <v>0.16666666666666666</v>
      </c>
    </row>
    <row r="16" spans="1:28" x14ac:dyDescent="0.25">
      <c r="B16" s="195" t="s">
        <v>6</v>
      </c>
      <c r="C16" s="194">
        <f>SUMIF(O:O,"*[Implementierung]*",P:P)</f>
        <v>0.41666666666666669</v>
      </c>
      <c r="D16" s="194">
        <f>SUMIF(O:O,"*[Testen]*",P:P)</f>
        <v>3.472222222222222E-3</v>
      </c>
      <c r="E16" s="194">
        <f>SUMIF(O:O,"*[Entwurf]*",P:P)</f>
        <v>0</v>
      </c>
      <c r="F16" s="194">
        <f>SUMIF(O:O,"*[Recherche]*",P:P)</f>
        <v>0</v>
      </c>
      <c r="G16" s="194">
        <f>SUMIF(O:O,"*[Organisation]*",P:P)</f>
        <v>0.10763888888888888</v>
      </c>
      <c r="H16" s="194">
        <f>SUMIF(Meetings!U4:U11,"*Lapp*",Meetings!T4:T11)</f>
        <v>7.6388888888888895E-2</v>
      </c>
      <c r="I16" s="192">
        <f>SUM(C16:H17)</f>
        <v>0.60416666666666674</v>
      </c>
      <c r="W16" t="s">
        <v>163</v>
      </c>
      <c r="X16" s="81">
        <v>3.472222222222222E-3</v>
      </c>
      <c r="Y16" t="s">
        <v>119</v>
      </c>
      <c r="Z16" s="81">
        <v>8.3333333333333329E-2</v>
      </c>
    </row>
    <row r="17" spans="2:26" x14ac:dyDescent="0.25">
      <c r="B17" s="195"/>
      <c r="C17" s="194"/>
      <c r="D17" s="194"/>
      <c r="E17" s="194"/>
      <c r="F17" s="194"/>
      <c r="G17" s="194"/>
      <c r="H17" s="194"/>
      <c r="I17" s="192"/>
      <c r="W17" t="s">
        <v>164</v>
      </c>
      <c r="X17" s="81">
        <v>4.8611111111111112E-2</v>
      </c>
      <c r="Y17" t="s">
        <v>120</v>
      </c>
      <c r="Z17" s="81">
        <v>4.1666666666666664E-2</v>
      </c>
    </row>
    <row r="18" spans="2:26" x14ac:dyDescent="0.25">
      <c r="B18" s="195" t="s">
        <v>28</v>
      </c>
      <c r="C18" s="194">
        <f>SUMIF(M:M,"*[Implementierung]*",N:N)</f>
        <v>0.47222222222222221</v>
      </c>
      <c r="D18" s="194">
        <f>SUMIF(M:M,"*[Testen]*",N:N)</f>
        <v>5.4166666666666669E-2</v>
      </c>
      <c r="E18" s="194">
        <f>SUMIF(M:M,"*[Entwurf]*",N:N)</f>
        <v>4.1666666666666664E-2</v>
      </c>
      <c r="F18" s="194">
        <f>SUMIF(M:M,"*[Recherche]*",N:N)</f>
        <v>0</v>
      </c>
      <c r="G18" s="194">
        <f>SUMIF(M:M,"*[Organisation]*",N:N)</f>
        <v>5.2083333333333336E-2</v>
      </c>
      <c r="H18" s="194">
        <f>SUMIF(Meetings!C14:C21,"*Lapp*",Meetings!B14:B21)</f>
        <v>0.2326388888888889</v>
      </c>
      <c r="I18" s="192">
        <f>SUM(C18:H19)</f>
        <v>0.85277777777777786</v>
      </c>
      <c r="W18" t="s">
        <v>165</v>
      </c>
      <c r="X18" s="81">
        <v>1.0416666666666666E-2</v>
      </c>
    </row>
    <row r="19" spans="2:26" x14ac:dyDescent="0.25">
      <c r="B19" s="195"/>
      <c r="C19" s="194"/>
      <c r="D19" s="194"/>
      <c r="E19" s="194"/>
      <c r="F19" s="194"/>
      <c r="G19" s="194"/>
      <c r="H19" s="194"/>
      <c r="I19" s="192"/>
      <c r="W19" t="s">
        <v>144</v>
      </c>
      <c r="X19" s="81">
        <v>8.3333333333333329E-2</v>
      </c>
    </row>
    <row r="20" spans="2:26" x14ac:dyDescent="0.25">
      <c r="B20" s="195" t="s">
        <v>29</v>
      </c>
      <c r="C20" s="194">
        <f>SUMIF(K:K,"*[Implementierung]*",L:L)</f>
        <v>0.63541666666666674</v>
      </c>
      <c r="D20" s="194">
        <f>SUMIF(K:K,"*[Testen]*",L:L)</f>
        <v>1.0416666666666666E-2</v>
      </c>
      <c r="E20" s="194">
        <f>SUMIF(K:K,"*[Entwurf]*",L:L)</f>
        <v>0</v>
      </c>
      <c r="F20" s="194">
        <f>SUMIF(K:K,"*[Recherche]*",L:L)</f>
        <v>0</v>
      </c>
      <c r="G20" s="194">
        <f>SUMIF(K:K,"*[Organisation]*",L:L)</f>
        <v>0</v>
      </c>
      <c r="H20" s="194">
        <f>SUMIF(Meetings!F14:F21,"*Lapp*",Meetings!E14:E21)</f>
        <v>0.10416666666666666</v>
      </c>
      <c r="I20" s="192">
        <f>SUM(C20:H21)</f>
        <v>0.75</v>
      </c>
      <c r="W20" t="s">
        <v>166</v>
      </c>
      <c r="X20" s="81">
        <v>3.472222222222222E-3</v>
      </c>
    </row>
    <row r="21" spans="2:26" x14ac:dyDescent="0.25">
      <c r="B21" s="195"/>
      <c r="C21" s="194"/>
      <c r="D21" s="194"/>
      <c r="E21" s="194"/>
      <c r="F21" s="194"/>
      <c r="G21" s="194"/>
      <c r="H21" s="194"/>
      <c r="I21" s="192"/>
      <c r="W21" t="s">
        <v>167</v>
      </c>
      <c r="X21" s="81">
        <v>6.9444444444444441E-3</v>
      </c>
    </row>
    <row r="22" spans="2:26" x14ac:dyDescent="0.25">
      <c r="B22" s="195" t="s">
        <v>30</v>
      </c>
      <c r="C22" s="194"/>
      <c r="D22" s="194"/>
      <c r="E22" s="194"/>
      <c r="F22" s="194"/>
      <c r="G22" s="194"/>
      <c r="H22" s="194">
        <f>SUMIF(Meetings!I14:I21,"*Lapp*",Meetings!H14:H21)</f>
        <v>2.7777777777777776E-2</v>
      </c>
      <c r="I22" s="192">
        <f>SUM(C22:H23)</f>
        <v>2.7777777777777776E-2</v>
      </c>
      <c r="W22" t="s">
        <v>168</v>
      </c>
      <c r="X22" s="81">
        <v>6.9444444444444441E-3</v>
      </c>
    </row>
    <row r="23" spans="2:26" x14ac:dyDescent="0.25">
      <c r="B23" s="195"/>
      <c r="C23" s="194"/>
      <c r="D23" s="194"/>
      <c r="E23" s="194"/>
      <c r="F23" s="194"/>
      <c r="G23" s="194"/>
      <c r="H23" s="194"/>
      <c r="I23" s="192"/>
      <c r="W23" t="s">
        <v>169</v>
      </c>
      <c r="X23" s="81">
        <v>6.9444444444444441E-3</v>
      </c>
    </row>
    <row r="24" spans="2:26" x14ac:dyDescent="0.25">
      <c r="B24" s="195" t="s">
        <v>31</v>
      </c>
      <c r="C24" s="194"/>
      <c r="D24" s="194"/>
      <c r="E24" s="194"/>
      <c r="F24" s="194"/>
      <c r="G24" s="194"/>
      <c r="H24" s="194">
        <f>SUMIF(Meetings!L14:L21,"*Lapp*",Meetings!K14:K21)</f>
        <v>3.4722222222222224E-2</v>
      </c>
      <c r="I24" s="192">
        <f>SUM(C24:H25)</f>
        <v>3.4722222222222224E-2</v>
      </c>
    </row>
    <row r="25" spans="2:26" x14ac:dyDescent="0.25">
      <c r="B25" s="195"/>
      <c r="C25" s="194"/>
      <c r="D25" s="194"/>
      <c r="E25" s="194"/>
      <c r="F25" s="194"/>
      <c r="G25" s="194"/>
      <c r="H25" s="194"/>
      <c r="I25" s="192"/>
    </row>
    <row r="26" spans="2:26" x14ac:dyDescent="0.25">
      <c r="B26" s="195" t="s">
        <v>32</v>
      </c>
      <c r="C26" s="194"/>
      <c r="D26" s="194"/>
      <c r="E26" s="194"/>
      <c r="F26" s="194"/>
      <c r="G26" s="194"/>
      <c r="H26" s="194">
        <f>SUMIF(Meetings!O14:O21,"*Lapp*",Meetings!N14:N21)</f>
        <v>3.4722222222222224E-2</v>
      </c>
      <c r="I26" s="192">
        <f>SUM(C26:H27)</f>
        <v>3.4722222222222224E-2</v>
      </c>
    </row>
    <row r="27" spans="2:26" x14ac:dyDescent="0.25">
      <c r="B27" s="195"/>
      <c r="C27" s="194"/>
      <c r="D27" s="194"/>
      <c r="E27" s="194"/>
      <c r="F27" s="194"/>
      <c r="G27" s="194"/>
      <c r="H27" s="194"/>
      <c r="I27" s="192"/>
    </row>
    <row r="28" spans="2:26" x14ac:dyDescent="0.25">
      <c r="B28" s="195" t="s">
        <v>33</v>
      </c>
      <c r="C28" s="194"/>
      <c r="D28" s="194"/>
      <c r="E28" s="194"/>
      <c r="F28" s="194"/>
      <c r="G28" s="194"/>
      <c r="H28" s="194">
        <f>SUMIF(Meetings!R14:R21,"*Lapp*",Meetings!Q14:Q21)</f>
        <v>3.4722222222222224E-2</v>
      </c>
      <c r="I28" s="192">
        <f>SUM(C28:H29)</f>
        <v>3.4722222222222224E-2</v>
      </c>
    </row>
    <row r="29" spans="2:26" x14ac:dyDescent="0.25">
      <c r="B29" s="195"/>
      <c r="C29" s="194"/>
      <c r="D29" s="194"/>
      <c r="E29" s="194"/>
      <c r="F29" s="194"/>
      <c r="G29" s="194"/>
      <c r="H29" s="194"/>
      <c r="I29" s="192"/>
    </row>
    <row r="30" spans="2:26" x14ac:dyDescent="0.25">
      <c r="B30" s="195" t="s">
        <v>34</v>
      </c>
      <c r="C30" s="194"/>
      <c r="D30" s="194"/>
      <c r="E30" s="194"/>
      <c r="F30" s="194"/>
      <c r="G30" s="194"/>
      <c r="H30" s="194">
        <f>SUMIF(Meetings!U14:U21,"*Lapp*",Meetings!T14:T21)</f>
        <v>3.4722222222222224E-2</v>
      </c>
      <c r="I30" s="192">
        <f>SUM(C30:H31)</f>
        <v>3.4722222222222224E-2</v>
      </c>
    </row>
    <row r="31" spans="2:26" x14ac:dyDescent="0.25">
      <c r="B31" s="195"/>
      <c r="C31" s="194"/>
      <c r="D31" s="194"/>
      <c r="E31" s="194"/>
      <c r="F31" s="194"/>
      <c r="G31" s="194"/>
      <c r="H31" s="194"/>
      <c r="I31" s="193"/>
    </row>
    <row r="32" spans="2:26" x14ac:dyDescent="0.25">
      <c r="B32" s="195" t="s">
        <v>392</v>
      </c>
      <c r="C32" s="194"/>
      <c r="D32" s="194"/>
      <c r="E32" s="194"/>
      <c r="F32" s="194"/>
      <c r="G32" s="194"/>
      <c r="H32" s="194">
        <f>SUMIF(Meetings!C24:C31,"*Lapp*",Meetings!B24:B31)</f>
        <v>3.4722222222222224E-2</v>
      </c>
      <c r="I32" s="192">
        <f>SUM(C32:H33)</f>
        <v>3.4722222222222224E-2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>
        <f>SUMIF(Meetings!F24:F31,"*Lapp*",Meetings!E24:E31)</f>
        <v>3.4722222222222224E-2</v>
      </c>
      <c r="I34" s="192">
        <f>SUM(C34:H35)</f>
        <v>3.4722222222222224E-2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>
        <f>SUMIF(Meetings!I24:I31,"*Lapp*",Meetings!H24:H31)</f>
        <v>3.4722222222222224E-2</v>
      </c>
      <c r="I36" s="192">
        <f>SUM(C36:H37)</f>
        <v>3.4722222222222224E-2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3.9444444444444446</v>
      </c>
      <c r="D38" s="192">
        <f t="shared" si="0"/>
        <v>0.2902777777777778</v>
      </c>
      <c r="E38" s="192">
        <f t="shared" si="0"/>
        <v>0.35416666666666669</v>
      </c>
      <c r="F38" s="192">
        <f t="shared" si="0"/>
        <v>0.73958333333333326</v>
      </c>
      <c r="G38" s="192">
        <f t="shared" si="0"/>
        <v>0.2673611111111111</v>
      </c>
      <c r="H38" s="196">
        <f t="shared" si="0"/>
        <v>1.3625000000000003</v>
      </c>
      <c r="I38" s="198">
        <f>SUM(C38:H39)</f>
        <v>6.9583333333333339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5"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G28:G29"/>
    <mergeCell ref="G30:G31"/>
    <mergeCell ref="I26:I27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G24:G25"/>
    <mergeCell ref="G26:G27"/>
    <mergeCell ref="I22:I23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I18:I19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I14:I1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G14:G15"/>
    <mergeCell ref="E12:E13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8:G9"/>
    <mergeCell ref="G10:G11"/>
    <mergeCell ref="E8:E9"/>
    <mergeCell ref="E10:E11"/>
    <mergeCell ref="C6:C7"/>
    <mergeCell ref="D6:D7"/>
    <mergeCell ref="F6:F7"/>
    <mergeCell ref="H6:H7"/>
    <mergeCell ref="I6:I7"/>
    <mergeCell ref="H4:H5"/>
    <mergeCell ref="G4:G5"/>
    <mergeCell ref="G6:G7"/>
    <mergeCell ref="E4:E5"/>
    <mergeCell ref="E6:E7"/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E24:E25"/>
    <mergeCell ref="E26:E27"/>
    <mergeCell ref="E28:E29"/>
    <mergeCell ref="E30:E31"/>
    <mergeCell ref="E14:E15"/>
    <mergeCell ref="E16:E17"/>
    <mergeCell ref="E18:E19"/>
    <mergeCell ref="E20:E21"/>
    <mergeCell ref="E22:E23"/>
    <mergeCell ref="F4:F5"/>
    <mergeCell ref="I4:I5"/>
    <mergeCell ref="B6:B7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A7AB8-39D5-4390-A3BC-34FBC6AEBD68}">
  <sheetPr codeName="Tabelle5"/>
  <dimension ref="A1:AB39"/>
  <sheetViews>
    <sheetView topLeftCell="A7" workbookViewId="0">
      <selection activeCell="H36" sqref="H36:H37"/>
    </sheetView>
  </sheetViews>
  <sheetFormatPr baseColWidth="10" defaultRowHeight="15" x14ac:dyDescent="0.25"/>
  <cols>
    <col min="3" max="3" width="17.42578125" customWidth="1"/>
    <col min="11" max="11" width="50.140625" customWidth="1"/>
    <col min="13" max="13" width="38.140625" customWidth="1"/>
  </cols>
  <sheetData>
    <row r="1" spans="1:28" ht="26.25" x14ac:dyDescent="0.4">
      <c r="A1" s="189" t="s">
        <v>53</v>
      </c>
      <c r="B1" s="189"/>
      <c r="C1" s="189"/>
      <c r="K1" s="50" t="s">
        <v>56</v>
      </c>
      <c r="L1" s="2"/>
    </row>
    <row r="3" spans="1:28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29</v>
      </c>
      <c r="L3" s="58"/>
      <c r="M3" s="58" t="s">
        <v>28</v>
      </c>
      <c r="N3" s="58"/>
      <c r="O3" s="58" t="s">
        <v>6</v>
      </c>
      <c r="P3" s="58"/>
      <c r="Q3" s="58" t="s">
        <v>5</v>
      </c>
      <c r="R3" s="58"/>
      <c r="S3" s="58" t="s">
        <v>4</v>
      </c>
      <c r="T3" s="58"/>
      <c r="U3" s="58" t="s">
        <v>3</v>
      </c>
      <c r="V3" s="58"/>
      <c r="W3" s="58" t="s">
        <v>2</v>
      </c>
      <c r="X3" s="58"/>
      <c r="Y3" s="58" t="s">
        <v>1</v>
      </c>
      <c r="Z3" s="58"/>
      <c r="AA3" s="47" t="s">
        <v>37</v>
      </c>
      <c r="AB3" s="47"/>
    </row>
    <row r="4" spans="1:28" x14ac:dyDescent="0.25">
      <c r="B4" s="200" t="s">
        <v>37</v>
      </c>
      <c r="C4" s="187">
        <f>SUMIF(AA:AA,"*[Implementierung]*",AB:AB)</f>
        <v>0</v>
      </c>
      <c r="D4" s="187">
        <f>SUMIF(AA:AA,"*[Testen]*",AB:AB)</f>
        <v>0</v>
      </c>
      <c r="E4" s="187">
        <f>SUMIF(AA:AA,"*[Entwurf]*",AB:AB)</f>
        <v>0.10416666666666667</v>
      </c>
      <c r="F4" s="187">
        <f>SUMIF(AA:AA,"*[Recherche]*",AB:AB)</f>
        <v>0.16666666666666666</v>
      </c>
      <c r="G4" s="187">
        <f>SUMIF(AA:AA,"*[Organisation]*",AB:AB)</f>
        <v>0</v>
      </c>
      <c r="H4" s="187">
        <f>SUMIF(Meetings!C4:C11,"*Martschenko*",Meetings!B4:B11)</f>
        <v>0.29166666666666669</v>
      </c>
      <c r="I4" s="192">
        <f>SUM(C4:H5)</f>
        <v>0.5625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  <c r="Y4" s="48" t="s">
        <v>59</v>
      </c>
      <c r="Z4" s="48" t="s">
        <v>60</v>
      </c>
      <c r="AA4" s="48" t="s">
        <v>59</v>
      </c>
      <c r="AB4" s="48" t="s">
        <v>60</v>
      </c>
    </row>
    <row r="5" spans="1:28" x14ac:dyDescent="0.25">
      <c r="B5" s="201"/>
      <c r="C5" s="187"/>
      <c r="D5" s="187"/>
      <c r="E5" s="187"/>
      <c r="F5" s="187"/>
      <c r="G5" s="187"/>
      <c r="H5" s="187"/>
      <c r="I5" s="192"/>
      <c r="K5" t="s">
        <v>364</v>
      </c>
      <c r="L5" s="81">
        <v>6.25E-2</v>
      </c>
      <c r="M5" t="s">
        <v>330</v>
      </c>
      <c r="N5" s="81">
        <v>0.14583333333333334</v>
      </c>
      <c r="O5" t="s">
        <v>296</v>
      </c>
      <c r="P5" s="81">
        <v>0.125</v>
      </c>
      <c r="Q5" t="s">
        <v>278</v>
      </c>
      <c r="R5" s="81">
        <v>0.16666666666666666</v>
      </c>
      <c r="S5" t="s">
        <v>246</v>
      </c>
      <c r="T5" s="81">
        <v>0.10416666666666667</v>
      </c>
      <c r="U5" t="s">
        <v>219</v>
      </c>
      <c r="V5" s="81">
        <v>5.5555555555555552E-2</v>
      </c>
      <c r="W5" t="s">
        <v>170</v>
      </c>
      <c r="X5" s="81">
        <v>0.14583333333333334</v>
      </c>
      <c r="Y5" t="s">
        <v>121</v>
      </c>
      <c r="Z5" s="81">
        <v>6.25E-2</v>
      </c>
      <c r="AA5" s="2" t="s">
        <v>70</v>
      </c>
      <c r="AB5" s="85">
        <v>0.16666666666666666</v>
      </c>
    </row>
    <row r="6" spans="1:28" x14ac:dyDescent="0.25">
      <c r="B6" s="195" t="s">
        <v>1</v>
      </c>
      <c r="C6" s="194">
        <f>SUMIF(Y:Y,"*[Implementierung]*",Z:Z)</f>
        <v>0.1875</v>
      </c>
      <c r="D6" s="194">
        <f>SUMIF(Y:Y,"*[Testen]*",Z:Z)</f>
        <v>0</v>
      </c>
      <c r="E6" s="194">
        <f>SUMIF(Y:Y,"*[Entwurf]*",Z:Z)</f>
        <v>2.0833333333333332E-2</v>
      </c>
      <c r="F6" s="194">
        <f>SUMIF(Y:Y,"*[Recherche]*",Z:Z)</f>
        <v>0</v>
      </c>
      <c r="G6" s="194">
        <f>SUMIF(Y:Y,"*[Organisation]*",Z:Z)</f>
        <v>0.20833333333333331</v>
      </c>
      <c r="H6" s="194">
        <f>SUMIF(Meetings!F4:F11,"*Martschenko*",Meetings!E4:E11)</f>
        <v>6.9444444444444448E-2</v>
      </c>
      <c r="I6" s="192">
        <f>SUM(C6:H7)</f>
        <v>0.48611111111111105</v>
      </c>
      <c r="K6" t="s">
        <v>368</v>
      </c>
      <c r="L6" s="81">
        <v>0.10416666666666667</v>
      </c>
      <c r="M6" t="s">
        <v>331</v>
      </c>
      <c r="N6" s="81">
        <v>3.125E-2</v>
      </c>
      <c r="O6" t="s">
        <v>297</v>
      </c>
      <c r="P6" s="81">
        <v>0.10416666666666667</v>
      </c>
      <c r="Q6" t="s">
        <v>279</v>
      </c>
      <c r="R6" s="81">
        <v>6.25E-2</v>
      </c>
      <c r="S6" t="s">
        <v>248</v>
      </c>
      <c r="T6" s="81">
        <v>0.16666666666666666</v>
      </c>
      <c r="U6" t="s">
        <v>220</v>
      </c>
      <c r="V6" s="81">
        <v>6.9444444444444441E-3</v>
      </c>
      <c r="W6" t="s">
        <v>171</v>
      </c>
      <c r="X6" s="81">
        <v>2.0833333333333332E-2</v>
      </c>
      <c r="Y6" t="s">
        <v>122</v>
      </c>
      <c r="Z6" s="81">
        <v>0.16666666666666666</v>
      </c>
      <c r="AA6" s="2" t="s">
        <v>71</v>
      </c>
      <c r="AB6" s="85">
        <v>0.10416666666666667</v>
      </c>
    </row>
    <row r="7" spans="1:28" x14ac:dyDescent="0.25">
      <c r="B7" s="195"/>
      <c r="C7" s="194"/>
      <c r="D7" s="194"/>
      <c r="E7" s="194"/>
      <c r="F7" s="194"/>
      <c r="G7" s="194"/>
      <c r="H7" s="194"/>
      <c r="I7" s="192"/>
      <c r="K7" t="s">
        <v>371</v>
      </c>
      <c r="L7" s="81">
        <v>0.125</v>
      </c>
      <c r="M7" t="s">
        <v>341</v>
      </c>
      <c r="N7" s="81">
        <v>8.3333333333333329E-2</v>
      </c>
      <c r="O7" t="s">
        <v>298</v>
      </c>
      <c r="P7" s="81">
        <v>0.125</v>
      </c>
      <c r="Q7" s="2" t="s">
        <v>233</v>
      </c>
      <c r="R7" s="81">
        <v>3.8194444444444441E-2</v>
      </c>
      <c r="S7" t="s">
        <v>254</v>
      </c>
      <c r="T7" s="81">
        <v>0.125</v>
      </c>
      <c r="U7" t="s">
        <v>221</v>
      </c>
      <c r="V7" s="81">
        <v>6.25E-2</v>
      </c>
      <c r="W7" t="s">
        <v>172</v>
      </c>
      <c r="X7" s="81">
        <v>8.3333333333333329E-2</v>
      </c>
      <c r="Y7" t="s">
        <v>106</v>
      </c>
      <c r="Z7" s="81">
        <v>2.0833333333333332E-2</v>
      </c>
    </row>
    <row r="8" spans="1:28" x14ac:dyDescent="0.25">
      <c r="B8" s="195" t="s">
        <v>2</v>
      </c>
      <c r="C8" s="194">
        <f>SUMIF(W:W,"*[Implementierung]*",X:X)</f>
        <v>0.36458333333333337</v>
      </c>
      <c r="D8" s="194">
        <f>SUMIF(W:W,"*[Testen]*",X:X)</f>
        <v>1.0416666666666666E-2</v>
      </c>
      <c r="E8" s="194">
        <f>SUMIF(W:W,"*[Entwurf]*",X:X)</f>
        <v>0.45833333333333337</v>
      </c>
      <c r="F8" s="194">
        <f>SUMIF(W:W,"*[Recherche]*",X:X)</f>
        <v>0</v>
      </c>
      <c r="G8" s="194">
        <f>SUMIF(W:W,"*[Organisation]*",X:X)</f>
        <v>4.8611111111111105E-2</v>
      </c>
      <c r="H8" s="194">
        <f>SUMIF(Meetings!I4:I11,"*Martschenko*",Meetings!H4:H11)</f>
        <v>0.14027777777777778</v>
      </c>
      <c r="I8" s="192">
        <f>SUM(C8:H9)</f>
        <v>1.0222222222222224</v>
      </c>
      <c r="K8" t="s">
        <v>372</v>
      </c>
      <c r="L8" s="81">
        <v>4.1666666666666664E-2</v>
      </c>
      <c r="M8" s="2" t="s">
        <v>233</v>
      </c>
      <c r="N8" s="81">
        <v>2.7777777777777776E-2</v>
      </c>
      <c r="O8" t="s">
        <v>299</v>
      </c>
      <c r="P8" s="81">
        <v>0.125</v>
      </c>
      <c r="Q8" s="2" t="s">
        <v>233</v>
      </c>
      <c r="R8" s="81">
        <v>3.8194444444444441E-2</v>
      </c>
      <c r="S8" s="97" t="s">
        <v>266</v>
      </c>
      <c r="T8" s="81">
        <v>2.7777777777777776E-2</v>
      </c>
      <c r="U8" t="s">
        <v>222</v>
      </c>
      <c r="V8" s="81">
        <v>0.10416666666666667</v>
      </c>
      <c r="W8" t="s">
        <v>173</v>
      </c>
      <c r="X8" s="81">
        <v>6.25E-2</v>
      </c>
      <c r="Y8" t="s">
        <v>123</v>
      </c>
      <c r="Z8" s="81">
        <v>6.25E-2</v>
      </c>
    </row>
    <row r="9" spans="1:28" x14ac:dyDescent="0.25">
      <c r="B9" s="195"/>
      <c r="C9" s="194"/>
      <c r="D9" s="194"/>
      <c r="E9" s="194"/>
      <c r="F9" s="194"/>
      <c r="G9" s="194"/>
      <c r="H9" s="194"/>
      <c r="I9" s="192"/>
      <c r="K9" t="s">
        <v>373</v>
      </c>
      <c r="L9" s="81">
        <v>4.1666666666666664E-2</v>
      </c>
      <c r="M9" s="35" t="s">
        <v>322</v>
      </c>
      <c r="N9" s="81">
        <v>0.10416666666666667</v>
      </c>
      <c r="O9" t="s">
        <v>295</v>
      </c>
      <c r="P9" s="81">
        <v>4.1666666666666664E-2</v>
      </c>
      <c r="S9" s="2" t="s">
        <v>233</v>
      </c>
      <c r="T9" s="81">
        <v>4.8611111111111112E-2</v>
      </c>
      <c r="U9" t="s">
        <v>223</v>
      </c>
      <c r="V9" s="81">
        <v>6.25E-2</v>
      </c>
      <c r="W9" t="s">
        <v>174</v>
      </c>
      <c r="X9" s="81">
        <v>6.25E-2</v>
      </c>
      <c r="Y9" t="s">
        <v>124</v>
      </c>
      <c r="Z9" s="81">
        <v>2.0833333333333332E-2</v>
      </c>
    </row>
    <row r="10" spans="1:28" x14ac:dyDescent="0.25">
      <c r="B10" s="195" t="s">
        <v>3</v>
      </c>
      <c r="C10" s="194">
        <f>SUMIF(U:U,"*[Implementierung]*",V:V)</f>
        <v>0.2361111111111111</v>
      </c>
      <c r="D10" s="194">
        <f>SUMIF(U:U,"*[Testen]*",V:V)</f>
        <v>2.0833333333333332E-2</v>
      </c>
      <c r="E10" s="194">
        <f>SUMIF(U:U,"*[Entwurf]*",V:V)</f>
        <v>0</v>
      </c>
      <c r="F10" s="194">
        <f>SUMIF(U:U,"*[Recherche]*",V:V)</f>
        <v>0.10416666666666667</v>
      </c>
      <c r="G10" s="194">
        <f>SUMIF(U:U,"*[Organisation]*",V:V)</f>
        <v>5.5555555555555552E-2</v>
      </c>
      <c r="H10" s="194">
        <f>SUMIF(Meetings!L4:L11,"*Martschenko*",Meetings!K4:K11)</f>
        <v>8.6805555555555552E-2</v>
      </c>
      <c r="I10" s="192">
        <f>SUM(C10:H11)</f>
        <v>0.50347222222222221</v>
      </c>
      <c r="K10" t="s">
        <v>374</v>
      </c>
      <c r="L10" s="81">
        <v>8.3333333333333329E-2</v>
      </c>
      <c r="O10" t="s">
        <v>301</v>
      </c>
      <c r="P10" s="81">
        <v>6.9444444444444441E-3</v>
      </c>
      <c r="S10" s="35" t="s">
        <v>261</v>
      </c>
      <c r="T10" s="81">
        <v>2.0833333333333332E-2</v>
      </c>
      <c r="U10" t="s">
        <v>224</v>
      </c>
      <c r="V10" s="81">
        <v>0.10416666666666667</v>
      </c>
      <c r="W10" t="s">
        <v>175</v>
      </c>
      <c r="X10" s="81">
        <v>6.9444444444444441E-3</v>
      </c>
      <c r="Y10" t="s">
        <v>125</v>
      </c>
      <c r="Z10" s="46">
        <v>8.3333333333333329E-2</v>
      </c>
    </row>
    <row r="11" spans="1:28" x14ac:dyDescent="0.25">
      <c r="B11" s="195"/>
      <c r="C11" s="194"/>
      <c r="D11" s="194"/>
      <c r="E11" s="194"/>
      <c r="F11" s="194"/>
      <c r="G11" s="194"/>
      <c r="H11" s="194"/>
      <c r="I11" s="192"/>
      <c r="O11" t="s">
        <v>322</v>
      </c>
      <c r="P11" s="81">
        <v>0.14583333333333334</v>
      </c>
      <c r="S11" s="35" t="s">
        <v>254</v>
      </c>
      <c r="T11" s="81">
        <v>2.0833333333333332E-2</v>
      </c>
      <c r="U11" t="s">
        <v>225</v>
      </c>
      <c r="V11" s="81">
        <v>2.0833333333333332E-2</v>
      </c>
      <c r="W11" t="s">
        <v>176</v>
      </c>
      <c r="X11" s="81">
        <v>1.0416666666666666E-2</v>
      </c>
    </row>
    <row r="12" spans="1:28" x14ac:dyDescent="0.25">
      <c r="B12" s="195" t="s">
        <v>4</v>
      </c>
      <c r="C12" s="194">
        <f>SUMIF(S:S,"*[Implementierung]*",T:T)</f>
        <v>0.33333333333333326</v>
      </c>
      <c r="D12" s="194">
        <f>SUMIF(S:S,"*[Testen]*",T:T)</f>
        <v>4.8611111111111112E-2</v>
      </c>
      <c r="E12" s="194">
        <f>SUMIF(S:S,"*[Entwurf]*",T:T)</f>
        <v>2.7777777777777776E-2</v>
      </c>
      <c r="F12" s="194">
        <f>SUMIF(S:S,"*[Recherche]*",T:T)</f>
        <v>0.10416666666666667</v>
      </c>
      <c r="G12" s="194">
        <f>SUMIF(S:S,"*[Organisation]*",T:T)</f>
        <v>0</v>
      </c>
      <c r="H12" s="194">
        <f>SUMIF(Meetings!O4:O11,"*Martschenko*",Meetings!N4:N11)</f>
        <v>8.1249999999999989E-2</v>
      </c>
      <c r="I12" s="192">
        <f>SUM(C12:H13)</f>
        <v>0.59513888888888888</v>
      </c>
      <c r="O12" t="s">
        <v>321</v>
      </c>
      <c r="P12" s="81">
        <v>9.7222222222222224E-2</v>
      </c>
      <c r="W12" t="s">
        <v>177</v>
      </c>
      <c r="X12" s="81">
        <v>2.0833333333333332E-2</v>
      </c>
    </row>
    <row r="13" spans="1:28" x14ac:dyDescent="0.25">
      <c r="B13" s="195"/>
      <c r="C13" s="194"/>
      <c r="D13" s="194"/>
      <c r="E13" s="194"/>
      <c r="F13" s="194"/>
      <c r="G13" s="194"/>
      <c r="H13" s="194"/>
      <c r="I13" s="192"/>
      <c r="W13" s="15" t="s">
        <v>178</v>
      </c>
    </row>
    <row r="14" spans="1:28" x14ac:dyDescent="0.25">
      <c r="B14" s="195" t="s">
        <v>5</v>
      </c>
      <c r="C14" s="194">
        <f>SUMIF(Q:Q,"*[Implementierung]*",R:R)</f>
        <v>0.22916666666666666</v>
      </c>
      <c r="D14" s="194">
        <f>SUMIF(Q:Q,"*[Testen]*",R:R)</f>
        <v>7.6388888888888881E-2</v>
      </c>
      <c r="E14" s="194">
        <f>SUMIF(Q:Q,"*[Entwurf]*",R:R)</f>
        <v>0</v>
      </c>
      <c r="F14" s="194">
        <f>SUMIF(Q:Q,"*[Recherche]*",R:R)</f>
        <v>0</v>
      </c>
      <c r="G14" s="194">
        <f>SUMIF(Q:Q,"*[Organisation]*",R:R)</f>
        <v>0</v>
      </c>
      <c r="H14" s="194">
        <f>SUMIF(Meetings!R4:R11,"*Martschenko*",Meetings!Q4:Q11)</f>
        <v>0.10069444444444445</v>
      </c>
      <c r="I14" s="192">
        <f>SUM(C14:H15)</f>
        <v>0.40625</v>
      </c>
      <c r="W14" s="87" t="s">
        <v>179</v>
      </c>
      <c r="X14" s="81">
        <v>0.125</v>
      </c>
    </row>
    <row r="15" spans="1:28" x14ac:dyDescent="0.25">
      <c r="B15" s="195"/>
      <c r="C15" s="194"/>
      <c r="D15" s="194"/>
      <c r="E15" s="194"/>
      <c r="F15" s="194"/>
      <c r="G15" s="194"/>
      <c r="H15" s="194"/>
      <c r="I15" s="192"/>
      <c r="W15" s="87" t="s">
        <v>180</v>
      </c>
      <c r="X15" s="81">
        <v>0.20833333333333334</v>
      </c>
    </row>
    <row r="16" spans="1:28" x14ac:dyDescent="0.25">
      <c r="B16" s="195" t="s">
        <v>6</v>
      </c>
      <c r="C16" s="194">
        <f>SUMIF(O:O,"*[Implementierung]*",P:P)</f>
        <v>0.52777777777777779</v>
      </c>
      <c r="D16" s="194">
        <f>SUMIF(O:O,"*[Testen]*",P:P)</f>
        <v>0</v>
      </c>
      <c r="E16" s="194">
        <f>SUMIF(O:O,"*[Entwurf]*",P:P)</f>
        <v>0</v>
      </c>
      <c r="F16" s="194">
        <f>SUMIF(O:O,"*[Recherche]*",P:P)</f>
        <v>0</v>
      </c>
      <c r="G16" s="194">
        <f>SUMIF(O:O,"*[Organisation]*",P:P)</f>
        <v>0.24305555555555558</v>
      </c>
      <c r="H16" s="194">
        <f>SUMIF(Meetings!U4:U11,"*Martschenko*",Meetings!T4:T11)</f>
        <v>0.11805555555555555</v>
      </c>
      <c r="I16" s="192">
        <f>SUM(C16:H17)</f>
        <v>0.88888888888888895</v>
      </c>
      <c r="W16" s="87" t="s">
        <v>181</v>
      </c>
      <c r="X16" s="81">
        <v>8.3333333333333329E-2</v>
      </c>
    </row>
    <row r="17" spans="2:24" x14ac:dyDescent="0.25">
      <c r="B17" s="195"/>
      <c r="C17" s="194"/>
      <c r="D17" s="194"/>
      <c r="E17" s="194"/>
      <c r="F17" s="194"/>
      <c r="G17" s="194"/>
      <c r="H17" s="194"/>
      <c r="I17" s="192"/>
      <c r="W17" s="87" t="s">
        <v>182</v>
      </c>
      <c r="X17" s="81">
        <v>4.1666666666666664E-2</v>
      </c>
    </row>
    <row r="18" spans="2:24" x14ac:dyDescent="0.25">
      <c r="B18" s="195" t="s">
        <v>28</v>
      </c>
      <c r="C18" s="194">
        <f>SUMIF(M:M,"*[Implementierung]*",N:N)</f>
        <v>0.26041666666666669</v>
      </c>
      <c r="D18" s="194">
        <f>SUMIF(M:M,"*[Testen]*",N:N)</f>
        <v>2.7777777777777776E-2</v>
      </c>
      <c r="E18" s="194">
        <f>SUMIF(M:M,"*[Entwurf]*",N:N)</f>
        <v>0</v>
      </c>
      <c r="F18" s="194">
        <f>SUMIF(M:M,"*[Recherche]*",N:N)</f>
        <v>0</v>
      </c>
      <c r="G18" s="194">
        <f>SUMIF(M:M,"*[Organisation]*",N:N)</f>
        <v>0.10416666666666667</v>
      </c>
      <c r="H18" s="194">
        <f>SUMIF(Meetings!C14:C21,"*Martschenko*",Meetings!B14:B21)</f>
        <v>0.2013888888888889</v>
      </c>
      <c r="I18" s="192">
        <f>SUM(C18:H19)</f>
        <v>0.59375</v>
      </c>
      <c r="W18" t="s">
        <v>183</v>
      </c>
      <c r="X18" s="81">
        <v>1.0416666666666666E-2</v>
      </c>
    </row>
    <row r="19" spans="2:24" x14ac:dyDescent="0.25">
      <c r="B19" s="195"/>
      <c r="C19" s="194"/>
      <c r="D19" s="194"/>
      <c r="E19" s="194"/>
      <c r="F19" s="194"/>
      <c r="G19" s="194"/>
      <c r="H19" s="194"/>
      <c r="I19" s="192"/>
    </row>
    <row r="20" spans="2:24" x14ac:dyDescent="0.25">
      <c r="B20" s="195" t="s">
        <v>29</v>
      </c>
      <c r="C20" s="194">
        <f>SUMIF(K:K,"*[Implementierung]*",L:L)</f>
        <v>0.35416666666666663</v>
      </c>
      <c r="D20" s="194">
        <f>SUMIF(K:K,"*[Testen]*",L:L)</f>
        <v>0</v>
      </c>
      <c r="E20" s="194">
        <f>SUMIF(K:K,"*[Entwurf]*",L:L)</f>
        <v>0.10416666666666667</v>
      </c>
      <c r="F20" s="194">
        <f>SUMIF(K:K,"*[Recherche]*",L:L)</f>
        <v>0</v>
      </c>
      <c r="G20" s="194">
        <f>SUMIF(K:K,"*[Organisation]*",L:L)</f>
        <v>0</v>
      </c>
      <c r="H20" s="194">
        <f>SUMIF(Meetings!F14:F21,"*Martschenko*",Meetings!E14:E21)</f>
        <v>0.10416666666666666</v>
      </c>
      <c r="I20" s="192">
        <f>SUM(C20:H21)</f>
        <v>0.5625</v>
      </c>
    </row>
    <row r="21" spans="2:24" x14ac:dyDescent="0.25">
      <c r="B21" s="195"/>
      <c r="C21" s="194"/>
      <c r="D21" s="194"/>
      <c r="E21" s="194"/>
      <c r="F21" s="194"/>
      <c r="G21" s="194"/>
      <c r="H21" s="194"/>
      <c r="I21" s="192"/>
    </row>
    <row r="22" spans="2:24" x14ac:dyDescent="0.25">
      <c r="B22" s="195" t="s">
        <v>30</v>
      </c>
      <c r="C22" s="194"/>
      <c r="D22" s="194"/>
      <c r="E22" s="194"/>
      <c r="F22" s="194"/>
      <c r="G22" s="194"/>
      <c r="H22" s="194">
        <f>SUMIF(Meetings!I14:I21,"*Martschenko*",Meetings!H14:H21)</f>
        <v>2.7777777777777776E-2</v>
      </c>
      <c r="I22" s="192">
        <f>SUM(C22:H23)</f>
        <v>2.7777777777777776E-2</v>
      </c>
    </row>
    <row r="23" spans="2:24" x14ac:dyDescent="0.25">
      <c r="B23" s="195"/>
      <c r="C23" s="194"/>
      <c r="D23" s="194"/>
      <c r="E23" s="194"/>
      <c r="F23" s="194"/>
      <c r="G23" s="194"/>
      <c r="H23" s="194"/>
      <c r="I23" s="192"/>
    </row>
    <row r="24" spans="2:24" x14ac:dyDescent="0.25">
      <c r="B24" s="195" t="s">
        <v>31</v>
      </c>
      <c r="C24" s="194"/>
      <c r="D24" s="194"/>
      <c r="E24" s="194"/>
      <c r="F24" s="194"/>
      <c r="G24" s="194"/>
      <c r="H24" s="194">
        <f>SUMIF(Meetings!L14:L21,"*Martschenko*",Meetings!K14:K21)</f>
        <v>3.4722222222222224E-2</v>
      </c>
      <c r="I24" s="192">
        <f>SUM(C24:H25)</f>
        <v>3.4722222222222224E-2</v>
      </c>
    </row>
    <row r="25" spans="2:24" x14ac:dyDescent="0.25">
      <c r="B25" s="195"/>
      <c r="C25" s="194"/>
      <c r="D25" s="194"/>
      <c r="E25" s="194"/>
      <c r="F25" s="194"/>
      <c r="G25" s="194"/>
      <c r="H25" s="194"/>
      <c r="I25" s="192"/>
    </row>
    <row r="26" spans="2:24" x14ac:dyDescent="0.25">
      <c r="B26" s="195" t="s">
        <v>32</v>
      </c>
      <c r="C26" s="194"/>
      <c r="D26" s="194"/>
      <c r="E26" s="194"/>
      <c r="F26" s="194"/>
      <c r="G26" s="194"/>
      <c r="H26" s="194">
        <f>SUMIF(Meetings!O14:O21,"*Martschenko*",Meetings!N14:N21)</f>
        <v>3.4722222222222224E-2</v>
      </c>
      <c r="I26" s="192">
        <f>SUM(C26:H27)</f>
        <v>3.4722222222222224E-2</v>
      </c>
    </row>
    <row r="27" spans="2:24" x14ac:dyDescent="0.25">
      <c r="B27" s="195"/>
      <c r="C27" s="194"/>
      <c r="D27" s="194"/>
      <c r="E27" s="194"/>
      <c r="F27" s="194"/>
      <c r="G27" s="194"/>
      <c r="H27" s="194"/>
      <c r="I27" s="192"/>
    </row>
    <row r="28" spans="2:24" x14ac:dyDescent="0.25">
      <c r="B28" s="195" t="s">
        <v>33</v>
      </c>
      <c r="C28" s="194"/>
      <c r="D28" s="194"/>
      <c r="E28" s="194"/>
      <c r="F28" s="194"/>
      <c r="G28" s="194"/>
      <c r="H28" s="194">
        <f>SUMIF(Meetings!R14:R21,"*Martschenko*",Meetings!Q14:Q21)</f>
        <v>3.4722222222222224E-2</v>
      </c>
      <c r="I28" s="192">
        <f>SUM(C28:H29)</f>
        <v>3.4722222222222224E-2</v>
      </c>
    </row>
    <row r="29" spans="2:24" x14ac:dyDescent="0.25">
      <c r="B29" s="195"/>
      <c r="C29" s="194"/>
      <c r="D29" s="194"/>
      <c r="E29" s="194"/>
      <c r="F29" s="194"/>
      <c r="G29" s="194"/>
      <c r="H29" s="194"/>
      <c r="I29" s="192"/>
    </row>
    <row r="30" spans="2:24" x14ac:dyDescent="0.25">
      <c r="B30" s="195" t="s">
        <v>34</v>
      </c>
      <c r="C30" s="194"/>
      <c r="D30" s="194"/>
      <c r="E30" s="194"/>
      <c r="F30" s="194"/>
      <c r="G30" s="194"/>
      <c r="H30" s="194">
        <f>SUMIF(Meetings!U14:U21,"*Martschenko*",Meetings!T14:T21)</f>
        <v>3.4722222222222224E-2</v>
      </c>
      <c r="I30" s="192">
        <f>SUM(C30:H31)</f>
        <v>3.4722222222222224E-2</v>
      </c>
    </row>
    <row r="31" spans="2:24" x14ac:dyDescent="0.25">
      <c r="B31" s="195"/>
      <c r="C31" s="194"/>
      <c r="D31" s="194"/>
      <c r="E31" s="194"/>
      <c r="F31" s="194"/>
      <c r="G31" s="194"/>
      <c r="H31" s="194"/>
      <c r="I31" s="193"/>
    </row>
    <row r="32" spans="2:24" x14ac:dyDescent="0.25">
      <c r="B32" s="195" t="s">
        <v>392</v>
      </c>
      <c r="C32" s="194"/>
      <c r="D32" s="194"/>
      <c r="E32" s="194"/>
      <c r="F32" s="194"/>
      <c r="G32" s="194"/>
      <c r="H32" s="194">
        <f>SUMIF(Meetings!C24:C31,"*Martschenko*",Meetings!B24:B31)</f>
        <v>3.4722222222222224E-2</v>
      </c>
      <c r="I32" s="192">
        <f>SUM(C32:H33)</f>
        <v>3.4722222222222224E-2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>
        <f>SUMIF(Meetings!F24:F31,"*Martschenko*",Meetings!E24:E31)</f>
        <v>3.4722222222222224E-2</v>
      </c>
      <c r="I34" s="192">
        <f>SUM(C34:H35)</f>
        <v>3.4722222222222224E-2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>
        <f>SUMIF(Meetings!I24:I31,"*Martschenko*",Meetings!H24:H31)</f>
        <v>3.4722222222222224E-2</v>
      </c>
      <c r="I36" s="192">
        <f>SUM(C36:H37)</f>
        <v>3.4722222222222224E-2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2.4930555555555554</v>
      </c>
      <c r="D38" s="192">
        <f t="shared" si="0"/>
        <v>0.18402777777777779</v>
      </c>
      <c r="E38" s="192">
        <f t="shared" si="0"/>
        <v>0.71527777777777779</v>
      </c>
      <c r="F38" s="192">
        <f t="shared" si="0"/>
        <v>0.375</v>
      </c>
      <c r="G38" s="192">
        <f t="shared" si="0"/>
        <v>0.65972222222222221</v>
      </c>
      <c r="H38" s="196">
        <f t="shared" si="0"/>
        <v>1.3604166666666671</v>
      </c>
      <c r="I38" s="198">
        <f>SUM(C38:H39)</f>
        <v>5.7874999999999996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5"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B10-6289-4276-BEC3-0F3ADB425B99}">
  <sheetPr codeName="Tabelle6"/>
  <dimension ref="A1:X39"/>
  <sheetViews>
    <sheetView topLeftCell="A7" workbookViewId="0">
      <selection activeCell="H18" sqref="H18:H31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35.140625" customWidth="1"/>
  </cols>
  <sheetData>
    <row r="1" spans="1:24" ht="26.25" x14ac:dyDescent="0.4">
      <c r="A1" s="189" t="s">
        <v>52</v>
      </c>
      <c r="B1" s="189"/>
      <c r="C1" s="189"/>
      <c r="K1" s="50" t="s">
        <v>56</v>
      </c>
      <c r="L1" s="2"/>
    </row>
    <row r="3" spans="1:24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6</v>
      </c>
      <c r="L3" s="58"/>
      <c r="M3" s="58" t="s">
        <v>5</v>
      </c>
      <c r="N3" s="58"/>
      <c r="O3" s="58" t="s">
        <v>4</v>
      </c>
      <c r="P3" s="58"/>
      <c r="Q3" s="58" t="s">
        <v>3</v>
      </c>
      <c r="R3" s="58"/>
      <c r="S3" s="58" t="s">
        <v>2</v>
      </c>
      <c r="T3" s="58"/>
      <c r="U3" s="58" t="s">
        <v>1</v>
      </c>
      <c r="V3" s="58"/>
      <c r="W3" s="47" t="s">
        <v>37</v>
      </c>
      <c r="X3" s="47"/>
    </row>
    <row r="4" spans="1:24" x14ac:dyDescent="0.25">
      <c r="B4" s="200" t="s">
        <v>37</v>
      </c>
      <c r="C4" s="187">
        <f>SUMIF(W:W,"*[Implementierung]*",X:X)</f>
        <v>0</v>
      </c>
      <c r="D4" s="187">
        <f>SUMIF(W:W,"*[Testen]*",X:X)</f>
        <v>0</v>
      </c>
      <c r="E4" s="187">
        <f>SUMIF(W:W,"*[Entwurf]*",X:X)</f>
        <v>0</v>
      </c>
      <c r="F4" s="187">
        <f>SUMIF(W:W,"*[Recherche]*",X:X)</f>
        <v>0.20833333333333334</v>
      </c>
      <c r="G4" s="187">
        <f>SUMIF(W:W,"*[Organisation]*",X:X)</f>
        <v>0</v>
      </c>
      <c r="H4" s="187">
        <f>SUMIF(Meetings!C4:C11,"*Soboth*",Meetings!B4:B11)</f>
        <v>0.29166666666666669</v>
      </c>
      <c r="I4" s="192">
        <f>SUM(C4:H5)</f>
        <v>0.5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</row>
    <row r="5" spans="1:24" x14ac:dyDescent="0.25">
      <c r="B5" s="201"/>
      <c r="C5" s="187"/>
      <c r="D5" s="187"/>
      <c r="E5" s="187"/>
      <c r="F5" s="187"/>
      <c r="G5" s="187"/>
      <c r="H5" s="187"/>
      <c r="I5" s="192"/>
      <c r="O5" t="s">
        <v>256</v>
      </c>
      <c r="P5" s="81">
        <v>0.15277777777777776</v>
      </c>
      <c r="Q5" t="s">
        <v>226</v>
      </c>
      <c r="R5" s="81">
        <v>0.16666666666666666</v>
      </c>
      <c r="S5" t="s">
        <v>147</v>
      </c>
      <c r="T5" s="81">
        <v>0.125</v>
      </c>
      <c r="U5" t="s">
        <v>109</v>
      </c>
      <c r="V5" s="81">
        <v>8.3333333333333329E-2</v>
      </c>
      <c r="W5" s="2" t="s">
        <v>72</v>
      </c>
      <c r="X5" s="85">
        <v>0.10416666666666667</v>
      </c>
    </row>
    <row r="6" spans="1:24" x14ac:dyDescent="0.25">
      <c r="B6" s="195" t="s">
        <v>1</v>
      </c>
      <c r="C6" s="194">
        <f>SUMIF(U:U,"*[Implementierung]*",V:V)</f>
        <v>7.2916666666666671E-2</v>
      </c>
      <c r="D6" s="194">
        <f>SUMIF(U:U,"*[Testen]*",V:V)</f>
        <v>0</v>
      </c>
      <c r="E6" s="194">
        <f>SUMIF(U:U,"*[Entwurf]*",V:V)</f>
        <v>0.1388888888888889</v>
      </c>
      <c r="F6" s="194">
        <f>SUMIF(U:U,"*[Recherche]*",V:V)</f>
        <v>0.22916666666666669</v>
      </c>
      <c r="G6" s="194">
        <f>SUMIF(U:U,"*[Organisation]*",V:V)</f>
        <v>3.125E-2</v>
      </c>
      <c r="H6" s="194">
        <f>SUMIF(Meetings!F4:F11,"*Soboth*",Meetings!E4:E11)</f>
        <v>6.9444444444444448E-2</v>
      </c>
      <c r="I6" s="192">
        <f>SUM(C6:H7)</f>
        <v>0.54166666666666674</v>
      </c>
      <c r="K6" s="202" t="s">
        <v>324</v>
      </c>
      <c r="O6" t="s">
        <v>260</v>
      </c>
      <c r="P6" s="81">
        <v>0.14583333333333334</v>
      </c>
      <c r="Q6" t="s">
        <v>208</v>
      </c>
      <c r="R6" s="81">
        <v>0.1875</v>
      </c>
      <c r="S6" t="s">
        <v>184</v>
      </c>
      <c r="T6" s="81">
        <v>5.2083333333333336E-2</v>
      </c>
      <c r="U6" t="s">
        <v>126</v>
      </c>
      <c r="V6" s="81">
        <v>0.14583333333333334</v>
      </c>
      <c r="W6" s="2" t="s">
        <v>73</v>
      </c>
      <c r="X6" s="85">
        <v>0.10416666666666667</v>
      </c>
    </row>
    <row r="7" spans="1:24" x14ac:dyDescent="0.25">
      <c r="B7" s="195"/>
      <c r="C7" s="194"/>
      <c r="D7" s="194"/>
      <c r="E7" s="194"/>
      <c r="F7" s="194"/>
      <c r="G7" s="194"/>
      <c r="H7" s="194"/>
      <c r="I7" s="192"/>
      <c r="K7" s="202"/>
      <c r="O7" t="s">
        <v>255</v>
      </c>
      <c r="P7" s="81">
        <v>7.2916666666666671E-2</v>
      </c>
      <c r="Q7" t="s">
        <v>209</v>
      </c>
      <c r="R7" s="81">
        <v>0.12152777777777778</v>
      </c>
      <c r="S7" s="86" t="s">
        <v>148</v>
      </c>
      <c r="U7" t="s">
        <v>127</v>
      </c>
      <c r="V7" s="81">
        <v>8.3333333333333329E-2</v>
      </c>
    </row>
    <row r="8" spans="1:24" x14ac:dyDescent="0.25">
      <c r="B8" s="195" t="s">
        <v>2</v>
      </c>
      <c r="C8" s="194">
        <f>SUMIF(S:S,"*[Implementierung]*",T:T)</f>
        <v>0.21527777777777779</v>
      </c>
      <c r="D8" s="194">
        <f>SUMIF(S:S,"*[Testen]*",T:T)</f>
        <v>0</v>
      </c>
      <c r="E8" s="194">
        <f>SUMIF(S:S,"*[Entwurf]*",T:T)</f>
        <v>5.2083333333333336E-2</v>
      </c>
      <c r="F8" s="194">
        <f>SUMIF(S:S,"*[Recherche]*",T:T)</f>
        <v>0.125</v>
      </c>
      <c r="G8" s="194">
        <f>SUMIF(S:S,"*[Organisation]*",T:T)</f>
        <v>0</v>
      </c>
      <c r="H8" s="194">
        <f>SUMIF(Meetings!I4:I11,"*Soboth*",Meetings!H4:H11)</f>
        <v>6.9444444444444434E-2</v>
      </c>
      <c r="I8" s="192">
        <f>SUM(C8:H9)</f>
        <v>0.46180555555555552</v>
      </c>
      <c r="Q8" t="s">
        <v>210</v>
      </c>
      <c r="R8" s="81">
        <v>9.0277777777777776E-2</v>
      </c>
      <c r="S8" s="87" t="s">
        <v>149</v>
      </c>
      <c r="T8" s="81">
        <v>1.3888888888888888E-2</v>
      </c>
      <c r="U8" t="s">
        <v>128</v>
      </c>
      <c r="V8" s="81">
        <v>5.5555555555555552E-2</v>
      </c>
    </row>
    <row r="9" spans="1:24" x14ac:dyDescent="0.25">
      <c r="B9" s="195"/>
      <c r="C9" s="194"/>
      <c r="D9" s="194"/>
      <c r="E9" s="194"/>
      <c r="F9" s="194"/>
      <c r="G9" s="194"/>
      <c r="H9" s="194"/>
      <c r="I9" s="192"/>
      <c r="S9" s="87" t="s">
        <v>150</v>
      </c>
      <c r="T9" s="81">
        <v>3.4722222222222224E-2</v>
      </c>
      <c r="U9" t="s">
        <v>129</v>
      </c>
      <c r="V9" s="81">
        <v>7.2916666666666671E-2</v>
      </c>
    </row>
    <row r="10" spans="1:24" x14ac:dyDescent="0.25">
      <c r="B10" s="195" t="s">
        <v>3</v>
      </c>
      <c r="C10" s="194">
        <f>SUMIF(Q:Q,"*[Implementierung]*",R:R)</f>
        <v>0.28819444444444442</v>
      </c>
      <c r="D10" s="194">
        <f>SUMIF(Q:Q,"*[Testen]*",R:R)</f>
        <v>0</v>
      </c>
      <c r="E10" s="194">
        <f>SUMIF(Q:Q,"*[Entwurf]*",R:R)</f>
        <v>0</v>
      </c>
      <c r="F10" s="194">
        <f>SUMIF(Q:Q,"*[Recherche]*",R:R)</f>
        <v>9.0277777777777776E-2</v>
      </c>
      <c r="G10" s="194">
        <f>SUMIF(Q:Q,"*[Organisation]*",R:R)</f>
        <v>0.1875</v>
      </c>
      <c r="H10" s="194">
        <f>SUMIF(Meetings!L4:L11,"*Soboth*",Meetings!K4:K11)</f>
        <v>6.5972222222222224E-2</v>
      </c>
      <c r="I10" s="192">
        <f>SUM(C10:H11)</f>
        <v>0.63194444444444442</v>
      </c>
      <c r="S10" s="87" t="s">
        <v>149</v>
      </c>
      <c r="T10" s="81">
        <v>1.0416666666666666E-2</v>
      </c>
      <c r="U10" t="s">
        <v>130</v>
      </c>
      <c r="V10" s="81">
        <v>3.125E-2</v>
      </c>
    </row>
    <row r="11" spans="1:24" x14ac:dyDescent="0.25">
      <c r="B11" s="195"/>
      <c r="C11" s="194"/>
      <c r="D11" s="194"/>
      <c r="E11" s="194"/>
      <c r="F11" s="194"/>
      <c r="G11" s="194"/>
      <c r="H11" s="194"/>
      <c r="I11" s="192"/>
      <c r="S11" s="87" t="s">
        <v>151</v>
      </c>
      <c r="T11" s="81">
        <v>5.2083333333333336E-2</v>
      </c>
    </row>
    <row r="12" spans="1:24" x14ac:dyDescent="0.25">
      <c r="B12" s="195" t="s">
        <v>4</v>
      </c>
      <c r="C12" s="194">
        <f>SUMIF(O:O,"*[Implementierung]*",P:P)</f>
        <v>0.15277777777777776</v>
      </c>
      <c r="D12" s="194">
        <f>SUMIF(O:O,"*[Testen]*",P:P)</f>
        <v>0</v>
      </c>
      <c r="E12" s="194">
        <f>SUMIF(O:O,"*[Entwurf]*",P:P)</f>
        <v>0.14583333333333334</v>
      </c>
      <c r="F12" s="194">
        <f>SUMIF(O:O,"*[Recherche]*",P:P)</f>
        <v>0</v>
      </c>
      <c r="G12" s="194">
        <f>SUMIF(O:O,"*[Organisation]*",P:P)</f>
        <v>7.2916666666666671E-2</v>
      </c>
      <c r="H12" s="194">
        <f>SUMIF(Meetings!O4:O11,"*Soboth*",Meetings!N4:N11)</f>
        <v>3.125E-2</v>
      </c>
      <c r="I12" s="192">
        <f>SUM(C12:H13)</f>
        <v>0.40277777777777779</v>
      </c>
      <c r="S12" s="87" t="s">
        <v>152</v>
      </c>
      <c r="T12" s="81">
        <v>0.10416666666666667</v>
      </c>
    </row>
    <row r="13" spans="1:24" x14ac:dyDescent="0.25">
      <c r="B13" s="195"/>
      <c r="C13" s="194"/>
      <c r="D13" s="194"/>
      <c r="E13" s="194"/>
      <c r="F13" s="194"/>
      <c r="G13" s="194"/>
      <c r="H13" s="194"/>
      <c r="I13" s="192"/>
    </row>
    <row r="14" spans="1:24" x14ac:dyDescent="0.25">
      <c r="B14" s="195" t="s">
        <v>5</v>
      </c>
      <c r="C14" s="194">
        <f>SUMIF(M:M,"*[Implementierung]*",N:N)</f>
        <v>0</v>
      </c>
      <c r="D14" s="194">
        <f>SUMIF(M:M,"*[Testen]*",N:N)</f>
        <v>0</v>
      </c>
      <c r="E14" s="194">
        <f>SUMIF(M:M,"*[Entwurf]*",N:N)</f>
        <v>0</v>
      </c>
      <c r="F14" s="194">
        <f>SUMIF(M:M,"*[Recherche]*",N:N)</f>
        <v>0</v>
      </c>
      <c r="G14" s="194">
        <f>SUMIF(M:M,"*[Organisation]*",N:N)</f>
        <v>0</v>
      </c>
      <c r="H14" s="194">
        <f>SUMIF(Meetings!R4:R11,"*Soboth*",Meetings!Q4:Q11)</f>
        <v>3.125E-2</v>
      </c>
      <c r="I14" s="192">
        <f>SUM(C14:H15)</f>
        <v>3.125E-2</v>
      </c>
    </row>
    <row r="15" spans="1:24" x14ac:dyDescent="0.25">
      <c r="B15" s="195"/>
      <c r="C15" s="194"/>
      <c r="D15" s="194"/>
      <c r="E15" s="194"/>
      <c r="F15" s="194"/>
      <c r="G15" s="194"/>
      <c r="H15" s="194"/>
      <c r="I15" s="192"/>
    </row>
    <row r="16" spans="1:24" x14ac:dyDescent="0.25">
      <c r="B16" s="195" t="s">
        <v>6</v>
      </c>
      <c r="C16" s="194">
        <f>SUMIF(K:K,"*[Implementierung]*",L:L)</f>
        <v>0</v>
      </c>
      <c r="D16" s="194">
        <f>SUMIF(K:K,"*[Testen]*",L:L)</f>
        <v>0</v>
      </c>
      <c r="E16" s="194">
        <f>SUMIF(K:K,"*[Entwurf]*",L:L)</f>
        <v>0</v>
      </c>
      <c r="F16" s="194">
        <f>SUMIF(K:K,"*[Recherche]*",L:L)</f>
        <v>0</v>
      </c>
      <c r="G16" s="194">
        <f>SUMIF(K:K,"*[Organisation]*",L:L)</f>
        <v>0</v>
      </c>
      <c r="H16" s="194">
        <f>SUMIF(Meetings!U4:U11,"*Soboth*",Meetings!T4:T11)</f>
        <v>0</v>
      </c>
      <c r="I16" s="192">
        <f>SUM(C16:H17)</f>
        <v>0</v>
      </c>
    </row>
    <row r="17" spans="2:9" x14ac:dyDescent="0.25">
      <c r="B17" s="195"/>
      <c r="C17" s="194"/>
      <c r="D17" s="194"/>
      <c r="E17" s="194"/>
      <c r="F17" s="194"/>
      <c r="G17" s="194"/>
      <c r="H17" s="194"/>
      <c r="I17" s="192"/>
    </row>
    <row r="18" spans="2:9" x14ac:dyDescent="0.25">
      <c r="B18" s="195" t="s">
        <v>28</v>
      </c>
      <c r="C18" s="194"/>
      <c r="D18" s="194"/>
      <c r="E18" s="194"/>
      <c r="F18" s="194"/>
      <c r="G18" s="194"/>
      <c r="H18" s="194"/>
      <c r="I18" s="192">
        <f>SUM(C18:H19)</f>
        <v>0</v>
      </c>
    </row>
    <row r="19" spans="2:9" x14ac:dyDescent="0.25">
      <c r="B19" s="195"/>
      <c r="C19" s="194"/>
      <c r="D19" s="194"/>
      <c r="E19" s="194"/>
      <c r="F19" s="194"/>
      <c r="G19" s="194"/>
      <c r="H19" s="194"/>
      <c r="I19" s="192"/>
    </row>
    <row r="20" spans="2:9" x14ac:dyDescent="0.25">
      <c r="B20" s="195" t="s">
        <v>29</v>
      </c>
      <c r="C20" s="194"/>
      <c r="D20" s="194"/>
      <c r="E20" s="194"/>
      <c r="F20" s="194"/>
      <c r="G20" s="194"/>
      <c r="H20" s="194"/>
      <c r="I20" s="192">
        <f>SUM(C20:H21)</f>
        <v>0</v>
      </c>
    </row>
    <row r="21" spans="2:9" x14ac:dyDescent="0.25">
      <c r="B21" s="195"/>
      <c r="C21" s="194"/>
      <c r="D21" s="194"/>
      <c r="E21" s="194"/>
      <c r="F21" s="194"/>
      <c r="G21" s="194"/>
      <c r="H21" s="194"/>
      <c r="I21" s="192"/>
    </row>
    <row r="22" spans="2:9" x14ac:dyDescent="0.25">
      <c r="B22" s="195" t="s">
        <v>30</v>
      </c>
      <c r="C22" s="194"/>
      <c r="D22" s="194"/>
      <c r="E22" s="194"/>
      <c r="F22" s="194"/>
      <c r="G22" s="194"/>
      <c r="H22" s="194"/>
      <c r="I22" s="192">
        <f>SUM(C22:H23)</f>
        <v>0</v>
      </c>
    </row>
    <row r="23" spans="2:9" x14ac:dyDescent="0.25">
      <c r="B23" s="195"/>
      <c r="C23" s="194"/>
      <c r="D23" s="194"/>
      <c r="E23" s="194"/>
      <c r="F23" s="194"/>
      <c r="G23" s="194"/>
      <c r="H23" s="194"/>
      <c r="I23" s="192"/>
    </row>
    <row r="24" spans="2:9" x14ac:dyDescent="0.25">
      <c r="B24" s="195" t="s">
        <v>31</v>
      </c>
      <c r="C24" s="194"/>
      <c r="D24" s="194"/>
      <c r="E24" s="194"/>
      <c r="F24" s="194"/>
      <c r="G24" s="194"/>
      <c r="H24" s="194"/>
      <c r="I24" s="192">
        <f>SUM(C24:H25)</f>
        <v>0</v>
      </c>
    </row>
    <row r="25" spans="2:9" x14ac:dyDescent="0.25">
      <c r="B25" s="195"/>
      <c r="C25" s="194"/>
      <c r="D25" s="194"/>
      <c r="E25" s="194"/>
      <c r="F25" s="194"/>
      <c r="G25" s="194"/>
      <c r="H25" s="194"/>
      <c r="I25" s="192"/>
    </row>
    <row r="26" spans="2:9" x14ac:dyDescent="0.25">
      <c r="B26" s="195" t="s">
        <v>32</v>
      </c>
      <c r="C26" s="194"/>
      <c r="D26" s="194"/>
      <c r="E26" s="194"/>
      <c r="F26" s="194"/>
      <c r="G26" s="194"/>
      <c r="H26" s="194"/>
      <c r="I26" s="192">
        <f>SUM(C26:H27)</f>
        <v>0</v>
      </c>
    </row>
    <row r="27" spans="2:9" x14ac:dyDescent="0.25">
      <c r="B27" s="195"/>
      <c r="C27" s="194"/>
      <c r="D27" s="194"/>
      <c r="E27" s="194"/>
      <c r="F27" s="194"/>
      <c r="G27" s="194"/>
      <c r="H27" s="194"/>
      <c r="I27" s="192"/>
    </row>
    <row r="28" spans="2:9" x14ac:dyDescent="0.25">
      <c r="B28" s="195" t="s">
        <v>33</v>
      </c>
      <c r="C28" s="194"/>
      <c r="D28" s="194"/>
      <c r="E28" s="194"/>
      <c r="F28" s="194"/>
      <c r="G28" s="194"/>
      <c r="H28" s="194"/>
      <c r="I28" s="192">
        <f>SUM(C28:H29)</f>
        <v>0</v>
      </c>
    </row>
    <row r="29" spans="2:9" x14ac:dyDescent="0.25">
      <c r="B29" s="195"/>
      <c r="C29" s="194"/>
      <c r="D29" s="194"/>
      <c r="E29" s="194"/>
      <c r="F29" s="194"/>
      <c r="G29" s="194"/>
      <c r="H29" s="194"/>
      <c r="I29" s="192"/>
    </row>
    <row r="30" spans="2:9" x14ac:dyDescent="0.25">
      <c r="B30" s="195" t="s">
        <v>34</v>
      </c>
      <c r="C30" s="194"/>
      <c r="D30" s="194"/>
      <c r="E30" s="194"/>
      <c r="F30" s="194"/>
      <c r="G30" s="194"/>
      <c r="H30" s="194"/>
      <c r="I30" s="192">
        <f>SUM(C30:H31)</f>
        <v>0</v>
      </c>
    </row>
    <row r="31" spans="2:9" x14ac:dyDescent="0.25">
      <c r="B31" s="195"/>
      <c r="C31" s="194"/>
      <c r="D31" s="194"/>
      <c r="E31" s="194"/>
      <c r="F31" s="194"/>
      <c r="G31" s="194"/>
      <c r="H31" s="194"/>
      <c r="I31" s="193"/>
    </row>
    <row r="32" spans="2:9" x14ac:dyDescent="0.25">
      <c r="B32" s="195" t="s">
        <v>392</v>
      </c>
      <c r="C32" s="194"/>
      <c r="D32" s="194"/>
      <c r="E32" s="194"/>
      <c r="F32" s="194"/>
      <c r="G32" s="194"/>
      <c r="H32" s="194"/>
      <c r="I32" s="192">
        <f>SUM(C32:H33)</f>
        <v>0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/>
      <c r="I34" s="192">
        <f>SUM(C34:H35)</f>
        <v>0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/>
      <c r="I36" s="192">
        <f>SUM(C36:H37)</f>
        <v>0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0.72916666666666663</v>
      </c>
      <c r="D38" s="192">
        <f t="shared" si="0"/>
        <v>0</v>
      </c>
      <c r="E38" s="192">
        <f t="shared" si="0"/>
        <v>0.33680555555555558</v>
      </c>
      <c r="F38" s="192">
        <f t="shared" si="0"/>
        <v>0.65277777777777779</v>
      </c>
      <c r="G38" s="192">
        <f t="shared" si="0"/>
        <v>0.29166666666666669</v>
      </c>
      <c r="H38" s="196">
        <f t="shared" si="0"/>
        <v>0.55902777777777779</v>
      </c>
      <c r="I38" s="198">
        <f>SUM(C38:H39)</f>
        <v>2.5694444444444442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6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B12:B13"/>
    <mergeCell ref="C12:C13"/>
    <mergeCell ref="D12:D13"/>
    <mergeCell ref="F12:F13"/>
    <mergeCell ref="K6:K7"/>
    <mergeCell ref="B38:B39"/>
    <mergeCell ref="C38:C39"/>
    <mergeCell ref="D38:D39"/>
    <mergeCell ref="E38:E39"/>
    <mergeCell ref="F38:F39"/>
    <mergeCell ref="G38:G39"/>
    <mergeCell ref="H38:H39"/>
    <mergeCell ref="I38:I39"/>
    <mergeCell ref="H6:H7"/>
    <mergeCell ref="I6:I7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7682-CA20-401D-A420-64D82EDAB997}">
  <sheetPr codeName="Tabelle7"/>
  <dimension ref="A1:AB39"/>
  <sheetViews>
    <sheetView workbookViewId="0">
      <selection activeCell="H38" sqref="H38:H39"/>
    </sheetView>
  </sheetViews>
  <sheetFormatPr baseColWidth="10" defaultRowHeight="15" x14ac:dyDescent="0.25"/>
  <cols>
    <col min="3" max="3" width="17.42578125" customWidth="1"/>
    <col min="11" max="11" width="45.28515625" customWidth="1"/>
    <col min="13" max="13" width="36.5703125" customWidth="1"/>
  </cols>
  <sheetData>
    <row r="1" spans="1:28" ht="26.25" x14ac:dyDescent="0.4">
      <c r="A1" s="189" t="s">
        <v>51</v>
      </c>
      <c r="B1" s="189"/>
      <c r="C1" s="189"/>
      <c r="K1" s="50" t="s">
        <v>56</v>
      </c>
      <c r="L1" s="2"/>
    </row>
    <row r="3" spans="1:28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29</v>
      </c>
      <c r="L3" s="58"/>
      <c r="M3" s="58" t="s">
        <v>28</v>
      </c>
      <c r="N3" s="58"/>
      <c r="O3" s="58" t="s">
        <v>6</v>
      </c>
      <c r="P3" s="58"/>
      <c r="Q3" s="58" t="s">
        <v>5</v>
      </c>
      <c r="R3" s="58"/>
      <c r="S3" s="58" t="s">
        <v>4</v>
      </c>
      <c r="T3" s="58"/>
      <c r="U3" s="58" t="s">
        <v>3</v>
      </c>
      <c r="V3" s="58"/>
      <c r="W3" s="58" t="s">
        <v>2</v>
      </c>
      <c r="X3" s="58"/>
      <c r="Y3" s="58" t="s">
        <v>1</v>
      </c>
      <c r="Z3" s="58"/>
      <c r="AA3" s="47" t="s">
        <v>37</v>
      </c>
      <c r="AB3" s="47"/>
    </row>
    <row r="4" spans="1:28" x14ac:dyDescent="0.25">
      <c r="B4" s="200" t="s">
        <v>37</v>
      </c>
      <c r="C4" s="187">
        <f>SUMIF(AA:AA,"*[Implementierung]*",AB:AB)</f>
        <v>0</v>
      </c>
      <c r="D4" s="187">
        <f>SUMIF(AA:AA,"*[Testen]*",AB:AB)</f>
        <v>0</v>
      </c>
      <c r="E4" s="187">
        <f>SUMIF(AA:AA,"*[Entwurf]*",AB:AB)</f>
        <v>0</v>
      </c>
      <c r="F4" s="187">
        <f>SUMIF(AA:AA,"*[Recherche]*",AB:AB)</f>
        <v>0.22916666666666666</v>
      </c>
      <c r="G4" s="187">
        <f>SUMIF(AA:AA,"*[Organisation]*",AB:AB)</f>
        <v>0</v>
      </c>
      <c r="H4" s="187">
        <f>SUMIF(Meetings!C4:C11,"*Stephan*",Meetings!B4:B11)</f>
        <v>0.29166666666666669</v>
      </c>
      <c r="I4" s="192">
        <f>SUM(C4:H5)</f>
        <v>0.52083333333333337</v>
      </c>
      <c r="K4" s="52" t="s">
        <v>59</v>
      </c>
      <c r="L4" s="48" t="s">
        <v>60</v>
      </c>
      <c r="M4" s="52" t="s">
        <v>59</v>
      </c>
      <c r="N4" s="48" t="s">
        <v>60</v>
      </c>
      <c r="O4" s="52" t="s">
        <v>59</v>
      </c>
      <c r="P4" s="48" t="s">
        <v>60</v>
      </c>
      <c r="Q4" s="52" t="s">
        <v>59</v>
      </c>
      <c r="R4" s="48" t="s">
        <v>60</v>
      </c>
      <c r="S4" s="52" t="s">
        <v>59</v>
      </c>
      <c r="T4" s="48" t="s">
        <v>60</v>
      </c>
      <c r="U4" s="52" t="s">
        <v>59</v>
      </c>
      <c r="V4" s="48" t="s">
        <v>60</v>
      </c>
      <c r="W4" s="52" t="s">
        <v>59</v>
      </c>
      <c r="X4" s="48" t="s">
        <v>60</v>
      </c>
      <c r="Y4" s="52" t="s">
        <v>59</v>
      </c>
      <c r="Z4" s="48" t="s">
        <v>60</v>
      </c>
      <c r="AA4" s="52" t="s">
        <v>59</v>
      </c>
      <c r="AB4" s="48" t="s">
        <v>60</v>
      </c>
    </row>
    <row r="5" spans="1:28" x14ac:dyDescent="0.25">
      <c r="B5" s="201"/>
      <c r="C5" s="187"/>
      <c r="D5" s="187"/>
      <c r="E5" s="187"/>
      <c r="F5" s="187"/>
      <c r="G5" s="187"/>
      <c r="H5" s="187"/>
      <c r="I5" s="192"/>
      <c r="K5" t="s">
        <v>353</v>
      </c>
      <c r="L5" s="81">
        <v>0.11041666666666666</v>
      </c>
      <c r="M5" t="s">
        <v>314</v>
      </c>
      <c r="N5" s="81">
        <v>9.1666666666666674E-2</v>
      </c>
      <c r="O5" t="s">
        <v>283</v>
      </c>
      <c r="P5" s="81">
        <v>1.1805555555555555E-2</v>
      </c>
      <c r="Q5" t="s">
        <v>258</v>
      </c>
      <c r="R5" s="81">
        <v>8.3333333333333329E-2</v>
      </c>
      <c r="S5" t="s">
        <v>242</v>
      </c>
      <c r="T5" s="81">
        <v>1.0416666666666666E-2</v>
      </c>
      <c r="U5" t="s">
        <v>196</v>
      </c>
      <c r="V5" s="81">
        <v>0.17708333333333334</v>
      </c>
      <c r="W5" t="s">
        <v>145</v>
      </c>
      <c r="X5" s="81">
        <v>4.1666666666666664E-2</v>
      </c>
      <c r="Y5" t="s">
        <v>131</v>
      </c>
      <c r="Z5" s="81">
        <v>9.0277777777777776E-2</v>
      </c>
      <c r="AA5" s="2" t="s">
        <v>74</v>
      </c>
      <c r="AB5" s="85">
        <v>6.25E-2</v>
      </c>
    </row>
    <row r="6" spans="1:28" x14ac:dyDescent="0.25">
      <c r="B6" s="195" t="s">
        <v>1</v>
      </c>
      <c r="C6" s="194">
        <f>SUMIF(Y:Y,"*[Implementierung]*",Z:Z)</f>
        <v>0.16527777777777777</v>
      </c>
      <c r="D6" s="194">
        <f>SUMIF(Y:Y,"*[Testen]*",Z:Z)</f>
        <v>4.9305555555555547E-2</v>
      </c>
      <c r="E6" s="194">
        <f>SUMIF(Y:Y,"*[Entwurf]*",Z:Z)</f>
        <v>0</v>
      </c>
      <c r="F6" s="194">
        <f>SUMIF(Y:Y,"*[Recherche]*",Z:Z)</f>
        <v>0</v>
      </c>
      <c r="G6" s="194">
        <f>SUMIF(Y:Y,"*[Organisation]*",Z:Z)</f>
        <v>0.36805555555555552</v>
      </c>
      <c r="H6" s="194">
        <f>SUMIF(Meetings!F4:F11,"*Stephan*",Meetings!E4:E11)</f>
        <v>0.1111111111111111</v>
      </c>
      <c r="I6" s="192">
        <f>SUM(C6:H7)</f>
        <v>0.69374999999999987</v>
      </c>
      <c r="K6" t="s">
        <v>362</v>
      </c>
      <c r="L6" s="81">
        <v>1.3888888888888888E-2</v>
      </c>
      <c r="M6" t="s">
        <v>326</v>
      </c>
      <c r="N6" s="81">
        <v>4.5138888888888888E-2</v>
      </c>
      <c r="O6" t="s">
        <v>291</v>
      </c>
      <c r="P6" s="81">
        <v>4.5138888888888888E-2</v>
      </c>
      <c r="Q6" t="s">
        <v>271</v>
      </c>
      <c r="R6" s="81">
        <v>0.17986111111111111</v>
      </c>
      <c r="S6" t="s">
        <v>244</v>
      </c>
      <c r="T6" s="81">
        <v>2.0833333333333332E-2</v>
      </c>
      <c r="U6" t="s">
        <v>195</v>
      </c>
      <c r="V6" s="81">
        <v>2.7777777777777776E-2</v>
      </c>
      <c r="W6" t="s">
        <v>148</v>
      </c>
      <c r="X6" s="81">
        <v>6.9444444444444441E-3</v>
      </c>
      <c r="Y6" t="s">
        <v>121</v>
      </c>
      <c r="Z6" s="81">
        <v>6.25E-2</v>
      </c>
      <c r="AA6" s="2" t="s">
        <v>75</v>
      </c>
      <c r="AB6" s="85">
        <v>0.16666666666666666</v>
      </c>
    </row>
    <row r="7" spans="1:28" x14ac:dyDescent="0.25">
      <c r="B7" s="195"/>
      <c r="C7" s="194"/>
      <c r="D7" s="194"/>
      <c r="E7" s="194"/>
      <c r="F7" s="194"/>
      <c r="G7" s="194"/>
      <c r="H7" s="194"/>
      <c r="I7" s="192"/>
      <c r="K7" t="s">
        <v>363</v>
      </c>
      <c r="L7" s="81">
        <v>1.9444444444444445E-2</v>
      </c>
      <c r="M7" t="s">
        <v>336</v>
      </c>
      <c r="N7" s="81">
        <v>1.0416666666666666E-2</v>
      </c>
      <c r="O7" t="s">
        <v>292</v>
      </c>
      <c r="P7" s="81">
        <v>0.16666666666666666</v>
      </c>
      <c r="Q7" t="s">
        <v>274</v>
      </c>
      <c r="R7" s="81">
        <v>4.1666666666666664E-2</v>
      </c>
      <c r="S7" t="s">
        <v>247</v>
      </c>
      <c r="T7" s="81">
        <v>9.9999999999999992E-2</v>
      </c>
      <c r="U7" t="s">
        <v>227</v>
      </c>
      <c r="V7" s="81">
        <v>9.7916666666666666E-2</v>
      </c>
      <c r="W7" t="s">
        <v>185</v>
      </c>
      <c r="X7" s="81">
        <v>3.4722222222222224E-2</v>
      </c>
      <c r="Y7" t="s">
        <v>132</v>
      </c>
      <c r="Z7" s="81">
        <v>4.1666666666666664E-2</v>
      </c>
    </row>
    <row r="8" spans="1:28" x14ac:dyDescent="0.25">
      <c r="B8" s="195" t="s">
        <v>2</v>
      </c>
      <c r="C8" s="194">
        <f>SUMIF(W:W,"*[Implementierung]*",X:X)</f>
        <v>0.4375</v>
      </c>
      <c r="D8" s="194">
        <f>SUMIF(W:W,"*[Testen]*",X:X)</f>
        <v>5.4166666666666669E-2</v>
      </c>
      <c r="E8" s="194">
        <f>SUMIF(W:W,"*[Entwurf]*",X:X)</f>
        <v>8.0555555555555561E-2</v>
      </c>
      <c r="F8" s="194">
        <f>SUMIF(W:W,"*[Recherche]*",X:X)</f>
        <v>0</v>
      </c>
      <c r="G8" s="194">
        <f>SUMIF(W:W,"*[Organisation]*",X:X)</f>
        <v>7.4999999999999997E-2</v>
      </c>
      <c r="H8" s="194">
        <f>SUMIF(Meetings!I4:I11,"*Stephan*",Meetings!H4:H11)</f>
        <v>0.10416666666666666</v>
      </c>
      <c r="I8" s="192">
        <f>SUM(C8:H9)</f>
        <v>0.75138888888888888</v>
      </c>
      <c r="K8" t="s">
        <v>365</v>
      </c>
      <c r="L8" s="81">
        <v>1.3888888888888888E-2</v>
      </c>
      <c r="M8" t="s">
        <v>340</v>
      </c>
      <c r="N8" s="81">
        <v>1.7361111111111112E-2</v>
      </c>
      <c r="O8" t="s">
        <v>293</v>
      </c>
      <c r="P8" s="81">
        <v>2.4305555555555556E-2</v>
      </c>
      <c r="Q8" t="s">
        <v>277</v>
      </c>
      <c r="R8" s="81">
        <v>3.4722222222222224E-2</v>
      </c>
      <c r="S8" t="s">
        <v>252</v>
      </c>
      <c r="T8" s="81">
        <v>9.6527777777777768E-2</v>
      </c>
      <c r="U8" t="s">
        <v>228</v>
      </c>
      <c r="V8" s="81">
        <v>2.6388888888888889E-2</v>
      </c>
      <c r="W8" t="s">
        <v>186</v>
      </c>
      <c r="X8" s="81">
        <v>5.5555555555555552E-2</v>
      </c>
      <c r="Y8" t="s">
        <v>133</v>
      </c>
      <c r="Z8" s="81">
        <v>2.7777777777777776E-2</v>
      </c>
    </row>
    <row r="9" spans="1:28" x14ac:dyDescent="0.25">
      <c r="B9" s="195"/>
      <c r="C9" s="194"/>
      <c r="D9" s="194"/>
      <c r="E9" s="194"/>
      <c r="F9" s="194"/>
      <c r="G9" s="194"/>
      <c r="H9" s="194"/>
      <c r="I9" s="192"/>
      <c r="K9" t="s">
        <v>370</v>
      </c>
      <c r="L9" s="81">
        <v>3.472222222222222E-3</v>
      </c>
      <c r="M9" t="s">
        <v>343</v>
      </c>
      <c r="N9" s="81">
        <v>0.17083333333333331</v>
      </c>
      <c r="O9" t="s">
        <v>294</v>
      </c>
      <c r="P9" s="81">
        <v>9.7222222222222224E-2</v>
      </c>
      <c r="Q9" t="s">
        <v>285</v>
      </c>
      <c r="R9" s="81">
        <v>7.7777777777777779E-2</v>
      </c>
      <c r="S9" t="s">
        <v>253</v>
      </c>
      <c r="T9" s="81">
        <v>8.3333333333333329E-2</v>
      </c>
      <c r="U9" t="s">
        <v>229</v>
      </c>
      <c r="V9" s="81">
        <v>2.4305555555555556E-2</v>
      </c>
      <c r="W9" t="s">
        <v>187</v>
      </c>
      <c r="X9" s="81">
        <v>8.0555555555555561E-2</v>
      </c>
      <c r="Y9" t="s">
        <v>134</v>
      </c>
      <c r="Z9" s="81">
        <v>0.12847222222222224</v>
      </c>
    </row>
    <row r="10" spans="1:28" x14ac:dyDescent="0.25">
      <c r="B10" s="195" t="s">
        <v>3</v>
      </c>
      <c r="C10" s="194">
        <f>SUMIF(U:U,"*[Implementierung]*",V:V)</f>
        <v>0.50277777777777777</v>
      </c>
      <c r="D10" s="194">
        <f>SUMIF(U:U,"*[Testen]*",V:V)</f>
        <v>7.2916666666666671E-2</v>
      </c>
      <c r="E10" s="194">
        <f>SUMIF(U:U,"*[Entwurf]*",V:V)</f>
        <v>7.6388888888888895E-2</v>
      </c>
      <c r="F10" s="194">
        <f>SUMIF(U:U,"*[Recherche]*",V:V)</f>
        <v>5.5555555555555552E-2</v>
      </c>
      <c r="G10" s="194">
        <f>SUMIF(U:U,"*[Organisation]*",V:V)</f>
        <v>0</v>
      </c>
      <c r="H10" s="194">
        <f>SUMIF(Meetings!L4:L11,"*Stephan*",Meetings!K4:K11)</f>
        <v>0.10763888888888888</v>
      </c>
      <c r="I10" s="192">
        <f>SUM(C10:H11)</f>
        <v>0.81527777777777777</v>
      </c>
      <c r="K10" t="s">
        <v>375</v>
      </c>
      <c r="L10" s="81">
        <v>4.7222222222222221E-2</v>
      </c>
      <c r="M10" t="s">
        <v>347</v>
      </c>
      <c r="N10" s="81">
        <v>2.0833333333333332E-2</v>
      </c>
      <c r="O10" t="s">
        <v>302</v>
      </c>
      <c r="P10" s="81">
        <v>2.7777777777777776E-2</v>
      </c>
      <c r="Q10" t="s">
        <v>286</v>
      </c>
      <c r="R10" s="81">
        <v>0.10555555555555556</v>
      </c>
      <c r="S10" t="s">
        <v>258</v>
      </c>
      <c r="T10" s="81">
        <v>8.7500000000000008E-2</v>
      </c>
      <c r="U10" t="s">
        <v>230</v>
      </c>
      <c r="V10" s="81">
        <v>5.5555555555555552E-2</v>
      </c>
      <c r="W10" t="s">
        <v>188</v>
      </c>
      <c r="X10" s="81">
        <v>0.16527777777777777</v>
      </c>
      <c r="Y10" t="s">
        <v>135</v>
      </c>
      <c r="Z10" s="81">
        <v>0.16527777777777777</v>
      </c>
    </row>
    <row r="11" spans="1:28" x14ac:dyDescent="0.25">
      <c r="B11" s="195"/>
      <c r="C11" s="194"/>
      <c r="D11" s="194"/>
      <c r="E11" s="194"/>
      <c r="F11" s="194"/>
      <c r="G11" s="194"/>
      <c r="H11" s="194"/>
      <c r="I11" s="192"/>
      <c r="K11" t="s">
        <v>376</v>
      </c>
      <c r="L11" s="81">
        <v>9.0972222222222218E-2</v>
      </c>
      <c r="M11" t="s">
        <v>349</v>
      </c>
      <c r="N11" s="81">
        <v>3.8194444444444441E-2</v>
      </c>
      <c r="O11" t="s">
        <v>306</v>
      </c>
      <c r="P11" s="81">
        <v>8.3333333333333329E-2</v>
      </c>
      <c r="Q11" t="s">
        <v>287</v>
      </c>
      <c r="R11" s="81">
        <v>0.17361111111111113</v>
      </c>
      <c r="S11" s="2" t="s">
        <v>233</v>
      </c>
      <c r="T11" s="81">
        <v>8.9583333333333334E-2</v>
      </c>
      <c r="U11" t="s">
        <v>231</v>
      </c>
      <c r="V11" s="81">
        <v>0.14930555555555555</v>
      </c>
      <c r="W11" t="s">
        <v>189</v>
      </c>
      <c r="X11" s="81">
        <v>1.0416666666666666E-2</v>
      </c>
      <c r="Y11" t="s">
        <v>136</v>
      </c>
      <c r="Z11" s="81">
        <v>4.2361111111111106E-2</v>
      </c>
    </row>
    <row r="12" spans="1:28" x14ac:dyDescent="0.25">
      <c r="B12" s="195" t="s">
        <v>4</v>
      </c>
      <c r="C12" s="194">
        <f>SUMIF(S:S,"*[Implementierung]*",T:T)</f>
        <v>0.31527777777777777</v>
      </c>
      <c r="D12" s="194">
        <f>SUMIF(S:S,"*[Testen]*",T:T)</f>
        <v>8.9583333333333334E-2</v>
      </c>
      <c r="E12" s="194">
        <f>SUMIF(S:S,"*[Entwurf]*",T:T)</f>
        <v>0</v>
      </c>
      <c r="F12" s="194">
        <f>SUMIF(S:S,"*[Recherche]*",T:T)</f>
        <v>0</v>
      </c>
      <c r="G12" s="194">
        <f>SUMIF(S:S,"*[Organisation]*",T:T)</f>
        <v>8.3333333333333329E-2</v>
      </c>
      <c r="H12" s="194">
        <f>SUMIF(Meetings!O4:O11,"*Stephan*",Meetings!N4:N11)</f>
        <v>8.1249999999999989E-2</v>
      </c>
      <c r="I12" s="192">
        <f>SUM(C12:H13)</f>
        <v>0.56944444444444442</v>
      </c>
      <c r="K12" s="2" t="s">
        <v>233</v>
      </c>
      <c r="L12" s="81">
        <v>9.6527777777777768E-2</v>
      </c>
      <c r="M12" t="s">
        <v>352</v>
      </c>
      <c r="N12" s="81">
        <v>8.819444444444445E-2</v>
      </c>
      <c r="O12" t="s">
        <v>320</v>
      </c>
      <c r="P12" s="81">
        <v>0.13541666666666666</v>
      </c>
      <c r="Q12" s="2" t="s">
        <v>233</v>
      </c>
      <c r="R12" s="81">
        <v>3.3333333333333333E-2</v>
      </c>
      <c r="U12" t="s">
        <v>232</v>
      </c>
      <c r="V12" s="81">
        <v>7.6388888888888895E-2</v>
      </c>
      <c r="W12" t="s">
        <v>190</v>
      </c>
      <c r="X12" s="81">
        <v>3.472222222222222E-3</v>
      </c>
      <c r="Y12" t="s">
        <v>137</v>
      </c>
      <c r="Z12" s="81">
        <v>1.7361111111111112E-2</v>
      </c>
    </row>
    <row r="13" spans="1:28" x14ac:dyDescent="0.25">
      <c r="B13" s="195"/>
      <c r="C13" s="194"/>
      <c r="D13" s="194"/>
      <c r="E13" s="194"/>
      <c r="F13" s="194"/>
      <c r="G13" s="194"/>
      <c r="H13" s="194"/>
      <c r="I13" s="192"/>
      <c r="K13" t="s">
        <v>387</v>
      </c>
      <c r="L13" s="81">
        <v>7.1527777777777787E-2</v>
      </c>
      <c r="M13" t="s">
        <v>353</v>
      </c>
      <c r="N13" s="81">
        <v>7.6388888888888895E-2</v>
      </c>
      <c r="O13" t="s">
        <v>314</v>
      </c>
      <c r="P13" s="81">
        <v>2.9861111111111113E-2</v>
      </c>
      <c r="U13" t="s">
        <v>233</v>
      </c>
      <c r="V13" s="81">
        <v>3.6805555555555557E-2</v>
      </c>
      <c r="W13" t="s">
        <v>191</v>
      </c>
      <c r="X13" s="81">
        <v>3.3333333333333333E-2</v>
      </c>
      <c r="Y13" t="s">
        <v>138</v>
      </c>
      <c r="Z13" s="81">
        <v>6.9444444444444441E-3</v>
      </c>
    </row>
    <row r="14" spans="1:28" x14ac:dyDescent="0.25">
      <c r="B14" s="195" t="s">
        <v>5</v>
      </c>
      <c r="C14" s="194">
        <f>SUMIF(Q:Q,"*[Implementierung]*",R:R)</f>
        <v>0.44027777777777777</v>
      </c>
      <c r="D14" s="194">
        <f>SUMIF(Q:Q,"*[Testen]*",R:R)</f>
        <v>3.3333333333333333E-2</v>
      </c>
      <c r="E14" s="194">
        <f>SUMIF(Q:Q,"*[Entwurf]*",R:R)</f>
        <v>4.1666666666666664E-2</v>
      </c>
      <c r="F14" s="194">
        <f>SUMIF(Q:Q,"*[Recherche]*",R:R)</f>
        <v>0</v>
      </c>
      <c r="G14" s="194">
        <f>SUMIF(Q:Q,"*[Organisation]*",R:R)</f>
        <v>0.21458333333333335</v>
      </c>
      <c r="H14" s="194">
        <f>SUMIF(Meetings!R4:R11,"*Stephan*",Meetings!Q4:Q11)</f>
        <v>0.15625</v>
      </c>
      <c r="I14" s="192">
        <f>SUM(C14:H15)</f>
        <v>0.88611111111111107</v>
      </c>
      <c r="K14" t="s">
        <v>386</v>
      </c>
      <c r="L14" s="81">
        <v>4.1666666666666664E-2</v>
      </c>
      <c r="M14" s="2" t="s">
        <v>233</v>
      </c>
      <c r="N14" s="81">
        <v>8.819444444444445E-2</v>
      </c>
      <c r="O14" s="2" t="s">
        <v>233</v>
      </c>
      <c r="P14" s="81">
        <v>2.7777777777777776E-2</v>
      </c>
      <c r="U14" t="s">
        <v>234</v>
      </c>
      <c r="V14" s="81">
        <v>3.6111111111111115E-2</v>
      </c>
      <c r="W14" t="s">
        <v>192</v>
      </c>
      <c r="X14" s="81">
        <v>6.9444444444444441E-3</v>
      </c>
    </row>
    <row r="15" spans="1:28" x14ac:dyDescent="0.25">
      <c r="B15" s="195"/>
      <c r="C15" s="194"/>
      <c r="D15" s="194"/>
      <c r="E15" s="194"/>
      <c r="F15" s="194"/>
      <c r="G15" s="194"/>
      <c r="H15" s="194"/>
      <c r="I15" s="192"/>
      <c r="O15" t="s">
        <v>316</v>
      </c>
      <c r="P15" s="81">
        <v>4.5138888888888888E-2</v>
      </c>
      <c r="W15" t="s">
        <v>193</v>
      </c>
      <c r="X15" s="81">
        <v>2.7777777777777776E-2</v>
      </c>
    </row>
    <row r="16" spans="1:28" x14ac:dyDescent="0.25">
      <c r="B16" s="195" t="s">
        <v>6</v>
      </c>
      <c r="C16" s="194">
        <f>SUMIF(O:O,"*[Implementierung]*",P:P)</f>
        <v>0.30277777777777776</v>
      </c>
      <c r="D16" s="194">
        <f>SUMIF(O:O,"*[Testen]*",P:P)</f>
        <v>2.7777777777777776E-2</v>
      </c>
      <c r="E16" s="194">
        <f>SUMIF(O:O,"*[Entwurf]*",P:P)</f>
        <v>0</v>
      </c>
      <c r="F16" s="194">
        <f>SUMIF(O:O,"*[Recherche]*",P:P)</f>
        <v>0</v>
      </c>
      <c r="G16" s="194">
        <f>SUMIF(O:O,"*[Organisation]*",P:P)</f>
        <v>0.36805555555555558</v>
      </c>
      <c r="H16" s="194">
        <f>SUMIF(Meetings!U4:U11,"*Stephan*",Meetings!T4:T11)</f>
        <v>7.6388888888888895E-2</v>
      </c>
      <c r="I16" s="192">
        <f>SUM(C16:H17)</f>
        <v>0.77499999999999991</v>
      </c>
      <c r="O16" t="s">
        <v>317</v>
      </c>
      <c r="P16" s="81">
        <v>4.1666666666666666E-3</v>
      </c>
      <c r="W16" t="s">
        <v>194</v>
      </c>
      <c r="X16" s="81">
        <v>5.7638888888888885E-2</v>
      </c>
    </row>
    <row r="17" spans="2:24" x14ac:dyDescent="0.25">
      <c r="B17" s="195"/>
      <c r="C17" s="194"/>
      <c r="D17" s="194"/>
      <c r="E17" s="194"/>
      <c r="F17" s="194"/>
      <c r="G17" s="194"/>
      <c r="H17" s="194"/>
      <c r="I17" s="192"/>
      <c r="W17" t="s">
        <v>166</v>
      </c>
      <c r="X17" s="81">
        <v>6.9444444444444441E-3</v>
      </c>
    </row>
    <row r="18" spans="2:24" x14ac:dyDescent="0.25">
      <c r="B18" s="195" t="s">
        <v>28</v>
      </c>
      <c r="C18" s="194">
        <f>SUMIF(M:M,"*[Implementierung]*",N:N)</f>
        <v>0.55902777777777768</v>
      </c>
      <c r="D18" s="194">
        <f>SUMIF(M:M,"*[Testen]*",N:N)</f>
        <v>8.819444444444445E-2</v>
      </c>
      <c r="E18" s="194">
        <f>SUMIF(M:M,"*[Entwurf]*",N:N)</f>
        <v>0</v>
      </c>
      <c r="F18" s="194">
        <f>SUMIF(M:M,"*[Recherche]*",N:N)</f>
        <v>0</v>
      </c>
      <c r="G18" s="194">
        <f>SUMIF(M:M,"*[Organisation]*",N:N)</f>
        <v>0</v>
      </c>
      <c r="H18" s="194">
        <f>SUMIF(Meetings!C14:C21,"*Stephan*",Meetings!B14:B21)</f>
        <v>0.2326388888888889</v>
      </c>
      <c r="I18" s="192">
        <f>SUM(C18:H19)</f>
        <v>0.87986111111111098</v>
      </c>
      <c r="W18" t="s">
        <v>195</v>
      </c>
      <c r="X18" s="81">
        <v>2.4999999999999998E-2</v>
      </c>
    </row>
    <row r="19" spans="2:24" x14ac:dyDescent="0.25">
      <c r="B19" s="195"/>
      <c r="C19" s="194"/>
      <c r="D19" s="194"/>
      <c r="E19" s="194"/>
      <c r="F19" s="194"/>
      <c r="G19" s="194"/>
      <c r="H19" s="194"/>
      <c r="I19" s="192"/>
      <c r="W19" t="s">
        <v>196</v>
      </c>
      <c r="X19" s="81">
        <v>3.4027777777777775E-2</v>
      </c>
    </row>
    <row r="20" spans="2:24" x14ac:dyDescent="0.25">
      <c r="B20" s="195" t="s">
        <v>29</v>
      </c>
      <c r="C20" s="194">
        <f>SUMIF(K:K,"*[Implementierung]*",L:L)</f>
        <v>0.32708333333333334</v>
      </c>
      <c r="D20" s="194">
        <f>SUMIF(K:K,"*[Testen]*",L:L)</f>
        <v>9.6527777777777768E-2</v>
      </c>
      <c r="E20" s="194">
        <f>SUMIF(K:K,"*[Entwurf]*",L:L)</f>
        <v>0</v>
      </c>
      <c r="F20" s="194">
        <f>SUMIF(K:K,"*[Recherche]*",L:L)</f>
        <v>0</v>
      </c>
      <c r="G20" s="194">
        <f>SUMIF(K:K,"*[Organisation]*",L:L)</f>
        <v>8.5416666666666669E-2</v>
      </c>
      <c r="H20" s="194">
        <f>SUMIF(Meetings!F14:F21,"*Stephan*",Meetings!E14:E21)</f>
        <v>0.10416666666666666</v>
      </c>
      <c r="I20" s="192">
        <f>SUM(C20:H21)</f>
        <v>0.61319444444444438</v>
      </c>
      <c r="W20" t="s">
        <v>197</v>
      </c>
      <c r="X20" s="81">
        <v>5.4166666666666669E-2</v>
      </c>
    </row>
    <row r="21" spans="2:24" x14ac:dyDescent="0.25">
      <c r="B21" s="195"/>
      <c r="C21" s="194"/>
      <c r="D21" s="194"/>
      <c r="E21" s="194"/>
      <c r="F21" s="194"/>
      <c r="G21" s="194"/>
      <c r="H21" s="194"/>
      <c r="I21" s="192"/>
      <c r="W21" t="s">
        <v>174</v>
      </c>
      <c r="X21" s="81">
        <v>2.7777777777777779E-3</v>
      </c>
    </row>
    <row r="22" spans="2:24" x14ac:dyDescent="0.25">
      <c r="B22" s="195" t="s">
        <v>30</v>
      </c>
      <c r="C22" s="194"/>
      <c r="D22" s="194"/>
      <c r="E22" s="194"/>
      <c r="F22" s="194"/>
      <c r="G22" s="194"/>
      <c r="H22" s="194">
        <f>SUMIF(Meetings!I14:I21,"*Stephan*",Meetings!H14:H21)</f>
        <v>2.7777777777777776E-2</v>
      </c>
      <c r="I22" s="192">
        <f>SUM(C22:H23)</f>
        <v>2.7777777777777776E-2</v>
      </c>
    </row>
    <row r="23" spans="2:24" x14ac:dyDescent="0.25">
      <c r="B23" s="195"/>
      <c r="C23" s="194"/>
      <c r="D23" s="194"/>
      <c r="E23" s="194"/>
      <c r="F23" s="194"/>
      <c r="G23" s="194"/>
      <c r="H23" s="194"/>
      <c r="I23" s="192"/>
    </row>
    <row r="24" spans="2:24" x14ac:dyDescent="0.25">
      <c r="B24" s="195" t="s">
        <v>31</v>
      </c>
      <c r="C24" s="194"/>
      <c r="D24" s="194"/>
      <c r="E24" s="194"/>
      <c r="F24" s="194"/>
      <c r="G24" s="194"/>
      <c r="H24" s="194">
        <f>SUMIF(Meetings!L14:L21,"*Stephan*",Meetings!K14:K21)</f>
        <v>3.4722222222222224E-2</v>
      </c>
      <c r="I24" s="192">
        <f>SUM(C24:H25)</f>
        <v>3.4722222222222224E-2</v>
      </c>
    </row>
    <row r="25" spans="2:24" x14ac:dyDescent="0.25">
      <c r="B25" s="195"/>
      <c r="C25" s="194"/>
      <c r="D25" s="194"/>
      <c r="E25" s="194"/>
      <c r="F25" s="194"/>
      <c r="G25" s="194"/>
      <c r="H25" s="194"/>
      <c r="I25" s="192"/>
    </row>
    <row r="26" spans="2:24" x14ac:dyDescent="0.25">
      <c r="B26" s="195" t="s">
        <v>32</v>
      </c>
      <c r="C26" s="194"/>
      <c r="D26" s="194"/>
      <c r="E26" s="194"/>
      <c r="F26" s="194"/>
      <c r="G26" s="194"/>
      <c r="H26" s="194">
        <f>SUMIF(Meetings!O14:O21,"*Stephan*",Meetings!N14:N21)</f>
        <v>3.4722222222222224E-2</v>
      </c>
      <c r="I26" s="192">
        <f>SUM(C26:H27)</f>
        <v>3.4722222222222224E-2</v>
      </c>
    </row>
    <row r="27" spans="2:24" x14ac:dyDescent="0.25">
      <c r="B27" s="195"/>
      <c r="C27" s="194"/>
      <c r="D27" s="194"/>
      <c r="E27" s="194"/>
      <c r="F27" s="194"/>
      <c r="G27" s="194"/>
      <c r="H27" s="194"/>
      <c r="I27" s="192"/>
    </row>
    <row r="28" spans="2:24" x14ac:dyDescent="0.25">
      <c r="B28" s="195" t="s">
        <v>33</v>
      </c>
      <c r="C28" s="194"/>
      <c r="D28" s="194"/>
      <c r="E28" s="194"/>
      <c r="F28" s="194"/>
      <c r="G28" s="194"/>
      <c r="H28" s="194">
        <f>SUMIF(Meetings!R14:R21,"*Stephan*",Meetings!Q14:Q21)</f>
        <v>3.4722222222222224E-2</v>
      </c>
      <c r="I28" s="192">
        <f>SUM(C28:H29)</f>
        <v>3.4722222222222224E-2</v>
      </c>
    </row>
    <row r="29" spans="2:24" x14ac:dyDescent="0.25">
      <c r="B29" s="195"/>
      <c r="C29" s="194"/>
      <c r="D29" s="194"/>
      <c r="E29" s="194"/>
      <c r="F29" s="194"/>
      <c r="G29" s="194"/>
      <c r="H29" s="194"/>
      <c r="I29" s="192"/>
    </row>
    <row r="30" spans="2:24" x14ac:dyDescent="0.25">
      <c r="B30" s="195" t="s">
        <v>34</v>
      </c>
      <c r="C30" s="194"/>
      <c r="D30" s="194"/>
      <c r="E30" s="194"/>
      <c r="F30" s="194"/>
      <c r="G30" s="194"/>
      <c r="H30" s="194">
        <f>SUMIF(Meetings!U14:U21,"*Stephan*",Meetings!T14:T21)</f>
        <v>3.4722222222222224E-2</v>
      </c>
      <c r="I30" s="192">
        <f>SUM(C30:H31)</f>
        <v>3.4722222222222224E-2</v>
      </c>
    </row>
    <row r="31" spans="2:24" x14ac:dyDescent="0.25">
      <c r="B31" s="195"/>
      <c r="C31" s="194"/>
      <c r="D31" s="194"/>
      <c r="E31" s="194"/>
      <c r="F31" s="194"/>
      <c r="G31" s="194"/>
      <c r="H31" s="194"/>
      <c r="I31" s="193"/>
    </row>
    <row r="32" spans="2:24" x14ac:dyDescent="0.25">
      <c r="B32" s="195" t="s">
        <v>392</v>
      </c>
      <c r="C32" s="194"/>
      <c r="D32" s="194"/>
      <c r="E32" s="194"/>
      <c r="F32" s="194"/>
      <c r="G32" s="194"/>
      <c r="H32" s="194">
        <f>SUMIF(Meetings!C24:C31,"*Stephan*",Meetings!B24:B31)</f>
        <v>3.4722222222222224E-2</v>
      </c>
      <c r="I32" s="192">
        <f>SUM(C32:H33)</f>
        <v>3.4722222222222224E-2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>
        <f>SUMIF(Meetings!F24:F31,"*Stephan*",Meetings!E24:E31)</f>
        <v>3.4722222222222224E-2</v>
      </c>
      <c r="I34" s="192">
        <f>SUM(C34:H35)</f>
        <v>3.4722222222222224E-2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>
        <f>SUMIF(Meetings!I24:I31,"*Stephan*",Meetings!H24:H31)</f>
        <v>3.4722222222222224E-2</v>
      </c>
      <c r="I36" s="192">
        <f>SUM(C36:H37)</f>
        <v>3.4722222222222224E-2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3.05</v>
      </c>
      <c r="D38" s="192">
        <f t="shared" si="0"/>
        <v>0.51180555555555562</v>
      </c>
      <c r="E38" s="192">
        <f t="shared" si="0"/>
        <v>0.1986111111111111</v>
      </c>
      <c r="F38" s="192">
        <f t="shared" si="0"/>
        <v>0.28472222222222221</v>
      </c>
      <c r="G38" s="192">
        <f t="shared" si="0"/>
        <v>1.1944444444444446</v>
      </c>
      <c r="H38" s="196">
        <f t="shared" si="0"/>
        <v>1.4319444444444447</v>
      </c>
      <c r="I38" s="198">
        <f>SUM(C38:H39)</f>
        <v>6.6715277777777775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5"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</vt:i4>
      </vt:variant>
    </vt:vector>
  </HeadingPairs>
  <TitlesOfParts>
    <vt:vector size="11" baseType="lpstr">
      <vt:lpstr>Übersicht</vt:lpstr>
      <vt:lpstr>Sprintübersicht</vt:lpstr>
      <vt:lpstr>Issues</vt:lpstr>
      <vt:lpstr>Meetings</vt:lpstr>
      <vt:lpstr>Pellekoorne</vt:lpstr>
      <vt:lpstr>Gutsche</vt:lpstr>
      <vt:lpstr>Lapp</vt:lpstr>
      <vt:lpstr>Martschenko</vt:lpstr>
      <vt:lpstr>Soboth</vt:lpstr>
      <vt:lpstr>Stephan</vt:lpstr>
      <vt:lpstr>Gutsche!_Hlk39578305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 Pellekoorne</dc:creator>
  <cp:lastModifiedBy>Timon Pellekoorne</cp:lastModifiedBy>
  <dcterms:created xsi:type="dcterms:W3CDTF">2020-05-02T08:25:49Z</dcterms:created>
  <dcterms:modified xsi:type="dcterms:W3CDTF">2020-06-30T10:36:41Z</dcterms:modified>
</cp:coreProperties>
</file>