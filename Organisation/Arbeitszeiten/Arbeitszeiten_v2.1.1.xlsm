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"/>
    </mc:Choice>
  </mc:AlternateContent>
  <xr:revisionPtr revIDLastSave="0" documentId="13_ncr:1_{DE4FE679-150F-40ED-9745-57886D7F5EA9}" xr6:coauthVersionLast="45" xr6:coauthVersionMax="45" xr10:uidLastSave="{00000000-0000-0000-0000-000000000000}"/>
  <bookViews>
    <workbookView xWindow="-108" yWindow="-108" windowWidth="23256" windowHeight="14016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Gutsche!$AM$5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2" i="7" l="1"/>
  <c r="F32" i="7"/>
  <c r="E32" i="7"/>
  <c r="D32" i="7"/>
  <c r="C32" i="7"/>
  <c r="G30" i="7"/>
  <c r="F30" i="7"/>
  <c r="E30" i="7"/>
  <c r="D30" i="7"/>
  <c r="C30" i="7"/>
  <c r="G28" i="7"/>
  <c r="F28" i="7"/>
  <c r="E28" i="7"/>
  <c r="D28" i="7"/>
  <c r="C28" i="7"/>
  <c r="G26" i="7"/>
  <c r="F26" i="7"/>
  <c r="E26" i="7"/>
  <c r="D26" i="7"/>
  <c r="C26" i="7"/>
  <c r="G24" i="7"/>
  <c r="F24" i="7"/>
  <c r="E24" i="7"/>
  <c r="D24" i="7"/>
  <c r="C24" i="7"/>
  <c r="G22" i="7"/>
  <c r="F22" i="7"/>
  <c r="E22" i="7"/>
  <c r="D22" i="7"/>
  <c r="C22" i="7"/>
  <c r="G20" i="7"/>
  <c r="F20" i="7"/>
  <c r="E20" i="7"/>
  <c r="D20" i="7"/>
  <c r="C20" i="7"/>
  <c r="G18" i="7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32" i="5"/>
  <c r="F32" i="5"/>
  <c r="E32" i="5"/>
  <c r="D32" i="5"/>
  <c r="C32" i="5"/>
  <c r="G30" i="5"/>
  <c r="F30" i="5"/>
  <c r="E30" i="5"/>
  <c r="D30" i="5"/>
  <c r="C30" i="5"/>
  <c r="G28" i="5"/>
  <c r="F28" i="5"/>
  <c r="E28" i="5"/>
  <c r="D28" i="5"/>
  <c r="C28" i="5"/>
  <c r="G26" i="5"/>
  <c r="F26" i="5"/>
  <c r="E26" i="5"/>
  <c r="D26" i="5"/>
  <c r="C26" i="5"/>
  <c r="G24" i="5"/>
  <c r="F24" i="5"/>
  <c r="E24" i="5"/>
  <c r="D24" i="5"/>
  <c r="C24" i="5"/>
  <c r="G22" i="5"/>
  <c r="F22" i="5"/>
  <c r="E22" i="5"/>
  <c r="D22" i="5"/>
  <c r="C22" i="5"/>
  <c r="G20" i="5"/>
  <c r="F20" i="5"/>
  <c r="E20" i="5"/>
  <c r="D20" i="5"/>
  <c r="C20" i="5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32" i="4"/>
  <c r="F32" i="4"/>
  <c r="E32" i="4"/>
  <c r="D32" i="4"/>
  <c r="C32" i="4"/>
  <c r="G30" i="4"/>
  <c r="F30" i="4"/>
  <c r="E30" i="4"/>
  <c r="D30" i="4"/>
  <c r="C30" i="4"/>
  <c r="G28" i="4"/>
  <c r="F28" i="4"/>
  <c r="E28" i="4"/>
  <c r="D28" i="4"/>
  <c r="C28" i="4"/>
  <c r="G26" i="4"/>
  <c r="F26" i="4"/>
  <c r="E26" i="4"/>
  <c r="D26" i="4"/>
  <c r="C26" i="4"/>
  <c r="G24" i="4"/>
  <c r="F24" i="4"/>
  <c r="E24" i="4"/>
  <c r="D24" i="4"/>
  <c r="C24" i="4"/>
  <c r="G22" i="4"/>
  <c r="F22" i="4"/>
  <c r="E22" i="4"/>
  <c r="D22" i="4"/>
  <c r="C22" i="4"/>
  <c r="G20" i="4"/>
  <c r="F20" i="4"/>
  <c r="E20" i="4"/>
  <c r="D20" i="4"/>
  <c r="C20" i="4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32" i="3"/>
  <c r="F32" i="3"/>
  <c r="E32" i="3"/>
  <c r="D32" i="3"/>
  <c r="C32" i="3"/>
  <c r="G30" i="3"/>
  <c r="F30" i="3"/>
  <c r="E30" i="3"/>
  <c r="D30" i="3"/>
  <c r="C30" i="3"/>
  <c r="G28" i="3"/>
  <c r="F28" i="3"/>
  <c r="E28" i="3"/>
  <c r="D28" i="3"/>
  <c r="C28" i="3"/>
  <c r="G26" i="3"/>
  <c r="F26" i="3"/>
  <c r="E26" i="3"/>
  <c r="D26" i="3"/>
  <c r="C26" i="3"/>
  <c r="G24" i="3"/>
  <c r="F24" i="3"/>
  <c r="E24" i="3"/>
  <c r="D24" i="3"/>
  <c r="C24" i="3"/>
  <c r="G22" i="3"/>
  <c r="F22" i="3"/>
  <c r="E22" i="3"/>
  <c r="D22" i="3"/>
  <c r="C22" i="3"/>
  <c r="G20" i="3"/>
  <c r="F20" i="3"/>
  <c r="E20" i="3"/>
  <c r="D20" i="3"/>
  <c r="C20" i="3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32" i="2"/>
  <c r="F32" i="2"/>
  <c r="E32" i="2"/>
  <c r="D32" i="2"/>
  <c r="C32" i="2"/>
  <c r="G30" i="2"/>
  <c r="F30" i="2"/>
  <c r="E30" i="2"/>
  <c r="D30" i="2"/>
  <c r="C30" i="2"/>
  <c r="G28" i="2"/>
  <c r="F28" i="2"/>
  <c r="E28" i="2"/>
  <c r="D28" i="2"/>
  <c r="C28" i="2"/>
  <c r="G26" i="2"/>
  <c r="F26" i="2"/>
  <c r="E26" i="2"/>
  <c r="D26" i="2"/>
  <c r="C26" i="2"/>
  <c r="G24" i="2"/>
  <c r="F24" i="2"/>
  <c r="E24" i="2"/>
  <c r="D24" i="2"/>
  <c r="C24" i="2"/>
  <c r="G22" i="2"/>
  <c r="F22" i="2"/>
  <c r="E22" i="2"/>
  <c r="D22" i="2"/>
  <c r="C22" i="2"/>
  <c r="G20" i="2"/>
  <c r="F20" i="2"/>
  <c r="E20" i="2"/>
  <c r="D20" i="2"/>
  <c r="C20" i="2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H36" i="7" l="1"/>
  <c r="H34" i="7"/>
  <c r="H32" i="7"/>
  <c r="H36" i="5"/>
  <c r="H34" i="5"/>
  <c r="H32" i="5"/>
  <c r="H30" i="5"/>
  <c r="H36" i="4"/>
  <c r="H34" i="4"/>
  <c r="H32" i="4"/>
  <c r="H30" i="4"/>
  <c r="H36" i="3"/>
  <c r="H34" i="3"/>
  <c r="H32" i="3"/>
  <c r="H36" i="2"/>
  <c r="H34" i="2"/>
  <c r="H32" i="2"/>
  <c r="H30" i="7"/>
  <c r="H28" i="7"/>
  <c r="H26" i="7"/>
  <c r="H24" i="7"/>
  <c r="H22" i="7"/>
  <c r="H20" i="7"/>
  <c r="H18" i="7"/>
  <c r="H28" i="5"/>
  <c r="H26" i="5"/>
  <c r="H24" i="5"/>
  <c r="H22" i="5"/>
  <c r="H20" i="5"/>
  <c r="H18" i="5"/>
  <c r="H28" i="4"/>
  <c r="H26" i="4"/>
  <c r="H24" i="4"/>
  <c r="H22" i="4"/>
  <c r="H20" i="4"/>
  <c r="H18" i="4"/>
  <c r="H30" i="3"/>
  <c r="H28" i="3"/>
  <c r="H26" i="3"/>
  <c r="H24" i="3"/>
  <c r="H22" i="3"/>
  <c r="H20" i="3"/>
  <c r="H18" i="3"/>
  <c r="H18" i="2"/>
  <c r="H30" i="2"/>
  <c r="H28" i="2"/>
  <c r="H26" i="2"/>
  <c r="H24" i="2"/>
  <c r="H22" i="2"/>
  <c r="H20" i="2"/>
  <c r="H33" i="9" l="1"/>
  <c r="G33" i="9"/>
  <c r="F33" i="9"/>
  <c r="E33" i="9"/>
  <c r="D33" i="9"/>
  <c r="I34" i="2"/>
  <c r="I34" i="6"/>
  <c r="I36" i="6"/>
  <c r="I32" i="6"/>
  <c r="C33" i="9"/>
  <c r="Y5" i="1"/>
  <c r="S5" i="1"/>
  <c r="P5" i="1"/>
  <c r="M5" i="1"/>
  <c r="J5" i="1" l="1"/>
  <c r="I35" i="1"/>
  <c r="C35" i="9"/>
  <c r="D35" i="9"/>
  <c r="E35" i="9"/>
  <c r="F35" i="9"/>
  <c r="G35" i="9"/>
  <c r="H35" i="9"/>
  <c r="C37" i="9"/>
  <c r="D37" i="9"/>
  <c r="E37" i="9"/>
  <c r="F37" i="9"/>
  <c r="G37" i="9"/>
  <c r="H37" i="9"/>
  <c r="H6" i="4"/>
  <c r="H6" i="2"/>
  <c r="H6" i="3"/>
  <c r="I35" i="9" l="1"/>
  <c r="I37" i="9"/>
  <c r="I33" i="9"/>
  <c r="I36" i="7"/>
  <c r="X37" i="1" s="1"/>
  <c r="I34" i="7"/>
  <c r="X35" i="1" s="1"/>
  <c r="I32" i="7"/>
  <c r="X33" i="1" s="1"/>
  <c r="I36" i="5"/>
  <c r="R37" i="1" s="1"/>
  <c r="I34" i="5"/>
  <c r="R35" i="1" s="1"/>
  <c r="I32" i="5"/>
  <c r="R33" i="1" s="1"/>
  <c r="I36" i="4"/>
  <c r="O37" i="1" s="1"/>
  <c r="I34" i="4"/>
  <c r="O35" i="1" s="1"/>
  <c r="I32" i="4"/>
  <c r="O33" i="1" s="1"/>
  <c r="I36" i="3"/>
  <c r="L37" i="1" s="1"/>
  <c r="I34" i="3"/>
  <c r="L35" i="1" s="1"/>
  <c r="I32" i="3"/>
  <c r="L33" i="1" s="1"/>
  <c r="I36" i="2" l="1"/>
  <c r="I37" i="1" s="1"/>
  <c r="I32" i="2"/>
  <c r="I33" i="1" s="1"/>
  <c r="C42" i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16" i="7" l="1"/>
  <c r="H14" i="7"/>
  <c r="H12" i="7"/>
  <c r="H10" i="7"/>
  <c r="H8" i="7"/>
  <c r="H6" i="7"/>
  <c r="H4" i="7"/>
  <c r="H16" i="6"/>
  <c r="H14" i="6"/>
  <c r="H12" i="6"/>
  <c r="H10" i="6"/>
  <c r="H8" i="6"/>
  <c r="H6" i="6"/>
  <c r="H4" i="6"/>
  <c r="H16" i="5"/>
  <c r="H14" i="5"/>
  <c r="H12" i="5"/>
  <c r="H10" i="5"/>
  <c r="H8" i="5"/>
  <c r="H6" i="5"/>
  <c r="H4" i="5"/>
  <c r="H16" i="4"/>
  <c r="H14" i="4"/>
  <c r="H12" i="4"/>
  <c r="H10" i="4"/>
  <c r="H8" i="4"/>
  <c r="H4" i="4"/>
  <c r="H16" i="3"/>
  <c r="H14" i="3"/>
  <c r="H12" i="3"/>
  <c r="H10" i="3"/>
  <c r="H8" i="3"/>
  <c r="H4" i="3"/>
  <c r="H16" i="2"/>
  <c r="H14" i="2"/>
  <c r="H12" i="2"/>
  <c r="H10" i="2"/>
  <c r="H8" i="2"/>
  <c r="H4" i="2"/>
  <c r="H21" i="9" l="1"/>
  <c r="I21" i="9" s="1"/>
  <c r="H13" i="9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8" i="2"/>
  <c r="F38" i="2"/>
  <c r="E38" i="2"/>
  <c r="D38" i="2"/>
  <c r="C38" i="2"/>
  <c r="H38" i="7" l="1"/>
  <c r="H38" i="6"/>
  <c r="H38" i="5"/>
  <c r="H38" i="4"/>
  <c r="H38" i="3"/>
  <c r="H38" i="2"/>
  <c r="I38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S9" i="1" l="1"/>
  <c r="S7" i="1"/>
  <c r="T7" i="1" s="1"/>
  <c r="P9" i="1"/>
  <c r="P7" i="1"/>
  <c r="Q7" i="1" s="1"/>
  <c r="Y9" i="1"/>
  <c r="Y7" i="1"/>
  <c r="Z7" i="1" s="1"/>
  <c r="Z5" i="1"/>
  <c r="V5" i="1"/>
  <c r="W5" i="1" s="1"/>
  <c r="V9" i="1"/>
  <c r="V7" i="1"/>
  <c r="W7" i="1" s="1"/>
  <c r="T5" i="1"/>
  <c r="Q5" i="1"/>
  <c r="L5" i="1" l="1"/>
  <c r="L27" i="1"/>
  <c r="L29" i="1"/>
  <c r="L19" i="1"/>
  <c r="L25" i="1"/>
  <c r="L17" i="1"/>
  <c r="L23" i="1"/>
  <c r="L7" i="1"/>
  <c r="L13" i="1"/>
  <c r="L15" i="1"/>
  <c r="L21" i="1"/>
  <c r="L11" i="1"/>
  <c r="L31" i="1"/>
  <c r="M7" i="1" l="1"/>
  <c r="M9" i="1"/>
  <c r="N5" i="1"/>
  <c r="N7" i="1" l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I40" i="1" s="1"/>
  <c r="J21" i="1" l="1"/>
  <c r="J13" i="1"/>
  <c r="J17" i="1"/>
  <c r="J9" i="1"/>
  <c r="J19" i="1"/>
  <c r="J11" i="1"/>
  <c r="J15" i="1"/>
  <c r="J7" i="1"/>
  <c r="K5" i="1"/>
  <c r="J23" i="1" l="1"/>
  <c r="K23" i="1" s="1"/>
  <c r="J33" i="1"/>
  <c r="K33" i="1" s="1"/>
  <c r="J37" i="1"/>
  <c r="K37" i="1" s="1"/>
  <c r="J29" i="1"/>
  <c r="K29" i="1" s="1"/>
  <c r="J35" i="1"/>
  <c r="K35" i="1" s="1"/>
  <c r="J27" i="1"/>
  <c r="K27" i="1" s="1"/>
  <c r="J25" i="1"/>
  <c r="K25" i="1" s="1"/>
  <c r="J31" i="1"/>
  <c r="K31" i="1" s="1"/>
  <c r="K19" i="1"/>
  <c r="K15" i="1"/>
  <c r="K9" i="1"/>
  <c r="K21" i="1"/>
  <c r="K13" i="1"/>
  <c r="K17" i="1"/>
  <c r="K7" i="1"/>
  <c r="K11" i="1"/>
  <c r="D38" i="3" l="1"/>
  <c r="F38" i="3"/>
  <c r="G38" i="3"/>
  <c r="C38" i="3"/>
  <c r="E38" i="3"/>
  <c r="I8" i="3"/>
  <c r="L9" i="1" s="1"/>
  <c r="L40" i="1" s="1"/>
  <c r="M23" i="1" l="1"/>
  <c r="M15" i="1"/>
  <c r="M19" i="1"/>
  <c r="M13" i="1"/>
  <c r="M11" i="1"/>
  <c r="M17" i="1"/>
  <c r="I38" i="3"/>
  <c r="N9" i="1"/>
  <c r="D38" i="4"/>
  <c r="E38" i="4"/>
  <c r="C38" i="4"/>
  <c r="G38" i="4"/>
  <c r="F38" i="4"/>
  <c r="I8" i="4"/>
  <c r="O9" i="1" s="1"/>
  <c r="O40" i="1" s="1"/>
  <c r="M21" i="1" l="1"/>
  <c r="N21" i="1" s="1"/>
  <c r="Q9" i="1"/>
  <c r="P23" i="1"/>
  <c r="P15" i="1"/>
  <c r="P19" i="1"/>
  <c r="P13" i="1"/>
  <c r="P11" i="1"/>
  <c r="P17" i="1"/>
  <c r="M33" i="1"/>
  <c r="N33" i="1" s="1"/>
  <c r="M25" i="1"/>
  <c r="N25" i="1" s="1"/>
  <c r="M27" i="1"/>
  <c r="N27" i="1" s="1"/>
  <c r="M31" i="1"/>
  <c r="N31" i="1" s="1"/>
  <c r="M29" i="1"/>
  <c r="N29" i="1" s="1"/>
  <c r="M35" i="1"/>
  <c r="N35" i="1" s="1"/>
  <c r="M37" i="1"/>
  <c r="N37" i="1" s="1"/>
  <c r="I38" i="4"/>
  <c r="N17" i="1"/>
  <c r="N11" i="1"/>
  <c r="N23" i="1"/>
  <c r="N15" i="1"/>
  <c r="N19" i="1"/>
  <c r="N13" i="1"/>
  <c r="P21" i="1" l="1"/>
  <c r="Q21" i="1" s="1"/>
  <c r="P33" i="1"/>
  <c r="Q33" i="1" s="1"/>
  <c r="P25" i="1"/>
  <c r="Q25" i="1" s="1"/>
  <c r="P31" i="1"/>
  <c r="Q31" i="1" s="1"/>
  <c r="P37" i="1"/>
  <c r="Q37" i="1" s="1"/>
  <c r="P29" i="1"/>
  <c r="Q29" i="1" s="1"/>
  <c r="P35" i="1"/>
  <c r="Q35" i="1" s="1"/>
  <c r="P27" i="1"/>
  <c r="Q27" i="1" s="1"/>
  <c r="Q15" i="1"/>
  <c r="Q13" i="1"/>
  <c r="Q23" i="1"/>
  <c r="Q19" i="1"/>
  <c r="Q17" i="1"/>
  <c r="Q11" i="1"/>
  <c r="F38" i="5"/>
  <c r="C38" i="5"/>
  <c r="E38" i="5"/>
  <c r="D38" i="5"/>
  <c r="G38" i="5"/>
  <c r="I8" i="5"/>
  <c r="R9" i="1" s="1"/>
  <c r="R40" i="1" s="1"/>
  <c r="S23" i="1" l="1"/>
  <c r="S13" i="1"/>
  <c r="S19" i="1"/>
  <c r="S17" i="1"/>
  <c r="S11" i="1"/>
  <c r="S15" i="1"/>
  <c r="I38" i="5"/>
  <c r="T9" i="1"/>
  <c r="F38" i="6"/>
  <c r="C38" i="6"/>
  <c r="G38" i="6"/>
  <c r="D38" i="6"/>
  <c r="E38" i="6"/>
  <c r="I8" i="6"/>
  <c r="U9" i="1" s="1"/>
  <c r="U40" i="1" s="1"/>
  <c r="S21" i="1" l="1"/>
  <c r="T21" i="1" s="1"/>
  <c r="T15" i="1"/>
  <c r="S33" i="1"/>
  <c r="T33" i="1" s="1"/>
  <c r="S29" i="1"/>
  <c r="T29" i="1" s="1"/>
  <c r="S31" i="1"/>
  <c r="T31" i="1" s="1"/>
  <c r="S27" i="1"/>
  <c r="T27" i="1" s="1"/>
  <c r="S37" i="1"/>
  <c r="T37" i="1" s="1"/>
  <c r="S25" i="1"/>
  <c r="T25" i="1" s="1"/>
  <c r="S35" i="1"/>
  <c r="T35" i="1" s="1"/>
  <c r="I38" i="6"/>
  <c r="W9" i="1"/>
  <c r="T19" i="1"/>
  <c r="T11" i="1"/>
  <c r="T17" i="1"/>
  <c r="T23" i="1"/>
  <c r="T13" i="1"/>
  <c r="E9" i="9"/>
  <c r="E38" i="7"/>
  <c r="D38" i="7"/>
  <c r="D9" i="9"/>
  <c r="F9" i="9"/>
  <c r="F38" i="7"/>
  <c r="C9" i="9"/>
  <c r="C38" i="7"/>
  <c r="G38" i="7"/>
  <c r="G9" i="9"/>
  <c r="I8" i="7"/>
  <c r="X9" i="1" s="1"/>
  <c r="X40" i="1" s="1"/>
  <c r="Y11" i="1" l="1"/>
  <c r="Y13" i="1"/>
  <c r="Y23" i="1"/>
  <c r="Y15" i="1"/>
  <c r="Y19" i="1"/>
  <c r="Y17" i="1"/>
  <c r="I9" i="9"/>
  <c r="I38" i="7"/>
  <c r="V13" i="1"/>
  <c r="W13" i="1" s="1"/>
  <c r="V15" i="1"/>
  <c r="W15" i="1" s="1"/>
  <c r="V11" i="1"/>
  <c r="W11" i="1" s="1"/>
  <c r="Z9" i="1"/>
  <c r="Y21" i="1" l="1"/>
  <c r="Z21" i="1" s="1"/>
  <c r="Y35" i="1"/>
  <c r="Z35" i="1" s="1"/>
  <c r="Y27" i="1"/>
  <c r="Z27" i="1" s="1"/>
  <c r="Y33" i="1"/>
  <c r="Z33" i="1" s="1"/>
  <c r="Y25" i="1"/>
  <c r="Z25" i="1" s="1"/>
  <c r="Y31" i="1"/>
  <c r="Z31" i="1" s="1"/>
  <c r="Y37" i="1"/>
  <c r="Z37" i="1" s="1"/>
  <c r="Y29" i="1"/>
  <c r="Z29" i="1" s="1"/>
  <c r="Z13" i="1"/>
  <c r="Z17" i="1"/>
  <c r="Z23" i="1"/>
  <c r="Z11" i="1"/>
  <c r="Z19" i="1"/>
  <c r="Z15" i="1"/>
</calcChain>
</file>

<file path=xl/sharedStrings.xml><?xml version="1.0" encoding="utf-8"?>
<sst xmlns="http://schemas.openxmlformats.org/spreadsheetml/2006/main" count="2239" uniqueCount="518">
  <si>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</si>
  <si>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</si>
  <si>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</si>
  <si>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</si>
  <si>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</si>
  <si>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</si>
  <si>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</si>
  <si>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</si>
  <si>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</si>
  <si>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</si>
  <si>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</si>
  <si>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</si>
  <si>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</si>
  <si>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</si>
  <si>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</si>
  <si>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</si>
  <si>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</si>
  <si>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</si>
  <si>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</si>
  <si>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</si>
  <si>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</si>
  <si>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</si>
  <si>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</si>
  <si>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</si>
  <si>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</si>
  <si>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</si>
  <si>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</si>
  <si>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</si>
  <si>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</si>
  <si>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</si>
  <si>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</si>
  <si>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</si>
  <si>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</si>
  <si>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</si>
  <si>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</si>
  <si>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</si>
  <si>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</si>
  <si>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</si>
  <si>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</si>
  <si>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</si>
  <si>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</si>
  <si>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</si>
  <si>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</si>
  <si>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</si>
  <si>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</si>
  <si>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</si>
  <si>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</si>
  <si>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</si>
  <si>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</si>
  <si>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</si>
  <si>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</si>
  <si>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</si>
  <si>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</si>
  <si>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</si>
  <si>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</si>
  <si>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</si>
  <si>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</si>
  <si>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</si>
  <si>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</si>
  <si>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</si>
  <si>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</si>
  <si>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</si>
  <si>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</si>
  <si>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</si>
  <si>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</si>
  <si>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</si>
  <si>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</si>
  <si>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</si>
  <si>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</si>
  <si>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</si>
  <si>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</si>
  <si>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</si>
  <si>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</si>
  <si>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</si>
  <si>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</si>
  <si>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</si>
  <si>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</si>
  <si>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</si>
  <si>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</si>
  <si>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</si>
  <si>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</si>
  <si>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</si>
  <si>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</si>
  <si>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</si>
  <si>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</si>
  <si>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</si>
  <si>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</si>
  <si>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</si>
  <si>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</si>
  <si>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</si>
  <si>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</si>
  <si>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</si>
  <si>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</si>
  <si>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</si>
  <si>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</si>
  <si>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</si>
  <si>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</si>
  <si>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</si>
  <si>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</si>
  <si>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</si>
  <si>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</si>
  <si>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</si>
  <si>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</si>
  <si>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</si>
  <si>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</si>
  <si>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</si>
  <si>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</si>
  <si>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</si>
  <si>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</si>
  <si>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</si>
  <si>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</si>
  <si>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</si>
  <si>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</si>
  <si>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</si>
  <si>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</si>
  <si>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</si>
  <si>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</si>
  <si>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</si>
  <si>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</si>
  <si>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</si>
  <si>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</si>
  <si>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</si>
  <si>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</si>
  <si>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</si>
  <si>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</si>
  <si>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</si>
  <si>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</si>
  <si>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</si>
  <si>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</si>
  <si>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</si>
  <si>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</si>
  <si>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</si>
  <si>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</si>
  <si>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</si>
  <si>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</si>
  <si>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</si>
  <si>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</si>
  <si>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</si>
  <si>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</si>
  <si>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</si>
  <si>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</si>
  <si>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</si>
  <si>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</si>
  <si>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</si>
  <si>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</si>
  <si>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</si>
  <si>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</si>
  <si>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</si>
  <si>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</si>
  <si>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</si>
  <si>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</si>
  <si>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</si>
  <si>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</si>
  <si>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</si>
  <si>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</si>
  <si>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</si>
  <si>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</si>
  <si>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</si>
  <si>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</si>
  <si>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</si>
  <si>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</si>
  <si>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</si>
  <si>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</si>
  <si>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</si>
  <si>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</si>
  <si>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</si>
  <si>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</si>
  <si>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</si>
  <si>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</si>
  <si>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</si>
  <si>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</si>
  <si>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</si>
  <si>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</si>
  <si>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</si>
  <si>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</si>
  <si>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</si>
  <si>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</si>
  <si>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</si>
  <si>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</si>
  <si>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</si>
  <si>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</si>
  <si>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</si>
  <si>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</si>
  <si>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</si>
  <si>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</si>
  <si>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</si>
  <si>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</si>
  <si>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</si>
  <si>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</si>
  <si>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</si>
  <si>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</si>
  <si>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</si>
  <si>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</si>
  <si>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</si>
  <si>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</si>
  <si>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</si>
  <si>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</si>
  <si>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</si>
  <si>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</si>
  <si>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</si>
  <si>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</si>
  <si>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</si>
  <si>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</si>
  <si>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</si>
  <si>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</si>
  <si>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</si>
  <si>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</si>
  <si>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</si>
  <si>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</si>
  <si>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</si>
  <si>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</si>
  <si>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</si>
  <si>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</si>
  <si>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</si>
  <si>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</si>
  <si>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</si>
  <si>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</si>
  <si>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</si>
  <si>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</si>
  <si>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</si>
  <si>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</si>
  <si>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</si>
  <si>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</si>
  <si>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</si>
  <si>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</si>
  <si>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</si>
  <si>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</si>
  <si>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</si>
  <si>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</si>
  <si>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</si>
  <si>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</si>
  <si>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</si>
  <si>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</si>
  <si>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</si>
  <si>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</si>
  <si>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</si>
  <si>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</si>
  <si>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</si>
  <si>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</si>
  <si>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</si>
  <si>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</si>
  <si>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</si>
  <si>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</si>
  <si>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</si>
  <si>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</si>
  <si>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</si>
  <si>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</si>
  <si>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</si>
  <si>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</si>
  <si>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</si>
  <si>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</si>
  <si>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</si>
  <si>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</si>
  <si>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</si>
  <si>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</si>
  <si>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</si>
  <si>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</si>
  <si>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</si>
  <si>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</si>
  <si>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</si>
  <si>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</si>
  <si>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</si>
  <si>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</si>
  <si>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</si>
  <si>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</si>
  <si>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</si>
  <si>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</si>
  <si>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</si>
  <si>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</si>
  <si>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</si>
  <si>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</si>
  <si>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</si>
  <si>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</si>
  <si>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</si>
  <si>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</si>
  <si>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</si>
  <si>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</si>
  <si>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</si>
  <si>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</si>
  <si>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</si>
  <si>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</si>
  <si>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</si>
  <si>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</si>
  <si>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</si>
  <si>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</si>
  <si>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</si>
  <si>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</si>
  <si>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</si>
  <si>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</si>
  <si>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</si>
  <si>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</si>
  <si>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</si>
  <si>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</si>
  <si>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</si>
  <si>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</si>
  <si>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</si>
  <si>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</si>
  <si>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</si>
  <si>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</si>
  <si>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</si>
  <si>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</si>
  <si>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</si>
  <si>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</si>
  <si>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</si>
  <si>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</si>
  <si>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</si>
  <si>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</si>
  <si>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</si>
  <si>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</si>
  <si>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</si>
  <si>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</si>
  <si>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</si>
  <si>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</si>
  <si>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</si>
  <si>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</si>
  <si>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</si>
  <si>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</si>
  <si>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</si>
  <si>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</si>
  <si>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</si>
  <si>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</si>
  <si>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</si>
  <si>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</si>
  <si>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</si>
  <si>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</si>
  <si>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</si>
  <si>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</si>
  <si>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</si>
  <si>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</si>
  <si>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</si>
  <si>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</si>
  <si>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</si>
  <si>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</si>
  <si>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</si>
  <si>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</si>
  <si>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</si>
  <si>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</si>
  <si>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</si>
  <si>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</si>
  <si>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</si>
  <si>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</si>
  <si>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</si>
  <si>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</si>
  <si>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</si>
  <si>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</si>
  <si>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</si>
  <si>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</si>
  <si>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</si>
  <si>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</si>
  <si>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</si>
  <si>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</si>
  <si>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</si>
  <si>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</si>
  <si>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</si>
  <si>
    <t>[Organisation] Sprint-Planning 22.06.2020</t>
  </si>
  <si>
    <t>[Entwurf] Pfeile Grafiken</t>
  </si>
  <si>
    <t>[Entwurf] Texte Bundesliga</t>
  </si>
  <si>
    <t>[Organisation] Statusbericht 23.06.2020</t>
  </si>
  <si>
    <t>[Organisation] Dokumentation schreiben</t>
  </si>
  <si>
    <t>[Implementierung] Sequence Fußball JSON</t>
  </si>
  <si>
    <t>[Implementierung] Tests für Image Funktionen</t>
  </si>
  <si>
    <t>[Implementierung] Kommentare Visualieserung überarbeiten</t>
  </si>
  <si>
    <t>[Organisation] Dependencies Updaten</t>
  </si>
  <si>
    <t>[Implementierung] Step pattern Fehlermeldungen Verbessern</t>
  </si>
  <si>
    <t>[Implementierung] Datenbankmodell anpassen</t>
  </si>
  <si>
    <t>[Implementierung] Speichern / Lesen von vorherigen Durchläufen</t>
  </si>
  <si>
    <t>[Implementierung] Tabellen Diferenz Berechnen</t>
  </si>
  <si>
    <t>[Implementierung] Up / Down Pfeile einbinden</t>
  </si>
  <si>
    <t>[Entwurf] Weitere Anpassungen des Datenbank-Modells</t>
  </si>
  <si>
    <t>[Implementierung] transform-Methoden mit random mit variabel langen Dict-Einträgen</t>
  </si>
  <si>
    <t>[Implementierung] Fehler in transform_append</t>
  </si>
  <si>
    <t>[Implementierung] API-Endpunkte (Zugriff Flask)</t>
  </si>
  <si>
    <t>[Implementierung] API-Endpunkte (topics)</t>
  </si>
  <si>
    <t>[Implementierung] API-Endpunkte (param)</t>
  </si>
  <si>
    <t>[Implementierung] API-Endpunkte (job)</t>
  </si>
  <si>
    <t>[Implementierung] Option Ergebnisse des Spieltages unvollständig transform und audio</t>
  </si>
  <si>
    <t xml:space="preserve">[Implementierung] Verwendung verschidener Audio Tools </t>
  </si>
  <si>
    <t>[Organisation] Dokumentation schreiben (Überblick)</t>
  </si>
  <si>
    <t>[Organisation] Dokumentation schreiben (Struktur)</t>
  </si>
  <si>
    <t>[Implementierung] Sprache Fußball erweitern</t>
  </si>
  <si>
    <t>[Implementierung] calculate multiply und divide hinzufügen</t>
  </si>
  <si>
    <t xml:space="preserve">[Organisation] docstrings überarbeiten </t>
  </si>
  <si>
    <t>[Implementierung] Sprache Fußball erweitern und calculates und transforms anpassen</t>
  </si>
  <si>
    <t>[Implementierung] docstrings transform und calculate hinzufügen</t>
  </si>
  <si>
    <t>[Organisation] Sprint-Planning 29.06.2020</t>
  </si>
  <si>
    <t>[Implementierung] Wordpress-Plugin</t>
  </si>
  <si>
    <t>[Implementierung] Fehlerbehebung football.json</t>
  </si>
  <si>
    <t>[Organisation] Documentation für Steps Config</t>
  </si>
  <si>
    <t>Sonntag</t>
  </si>
  <si>
    <t>Woche 16</t>
  </si>
  <si>
    <t>Woche 17</t>
  </si>
  <si>
    <t>Woche 18</t>
  </si>
  <si>
    <t>Sprint 14</t>
  </si>
  <si>
    <t>Sprint 15</t>
  </si>
  <si>
    <t>Sprint 16</t>
  </si>
  <si>
    <t>Abgabe</t>
  </si>
  <si>
    <t>Pellekoorne, Gutsche, Stephan</t>
  </si>
  <si>
    <t>[Organisation] Excel-Datei Projektlänge anpassen</t>
  </si>
  <si>
    <t>[Implementierung] Stepper erweitern</t>
  </si>
  <si>
    <t>[Implementierung] API-Endpunkte (jobs)</t>
  </si>
  <si>
    <t>[Implementierung] API-Endpunkte (add)</t>
  </si>
  <si>
    <t>[Implementierung] API-Endpunkte (remove)</t>
  </si>
  <si>
    <t>[Implementierung] API-Endpunkte (Parameter Jobs)</t>
  </si>
  <si>
    <t>[Implementierung] API-Endpunkte (Parameter add)</t>
  </si>
  <si>
    <t>[Implementierung] API-Endpunkte (edit)</t>
  </si>
  <si>
    <t>[Implementierung] API-Endpunkte (ErrorHandling)</t>
  </si>
  <si>
    <t>[Implementierung] API-Endpunkte (DBScheduler)</t>
  </si>
  <si>
    <t>[Implementierung] Wordpress-Plugin (integrieren)</t>
  </si>
  <si>
    <t xml:space="preserve">[Implementierung] Wordpress-Plugin </t>
  </si>
  <si>
    <t>[Implementierung] Wordpress-Plugin (Style anpassen)</t>
  </si>
  <si>
    <t>[Implementierung] Testen einer Börsen-API</t>
  </si>
  <si>
    <t>[Implementierung] Transform Funktionen Verbessern</t>
  </si>
  <si>
    <t>[Implementierung] Mehr Möglichkeiten zur Speicherung und zum Einlesen von Daten</t>
  </si>
  <si>
    <t>[Implementierung] weather_germany.json Fehler beheben</t>
  </si>
  <si>
    <t>[Entwurf] Steps-Config: Parameter-Felder hinzufügen</t>
  </si>
  <si>
    <t>[Implementierung] transform-Funktionen anpassen</t>
  </si>
  <si>
    <t>[Implementierung] Funktionen des Steps Api Erweitern</t>
  </si>
  <si>
    <t>[Implementierung] Video löschung nach angegebene zeitraum</t>
  </si>
  <si>
    <t>[Organisation] Frontend Dependencies updaten</t>
  </si>
  <si>
    <t>[Recherche] Börsen-API</t>
  </si>
  <si>
    <t>[Implementierung] Funktionen für das Verwenden der Video Config hinzufügen</t>
  </si>
  <si>
    <t>[Organisation] Sprint-Planning 06.07.2020</t>
  </si>
  <si>
    <t>[Implementierung] Funktionen für Wordcloud</t>
  </si>
  <si>
    <t>[Implementierung] Anbindung des Frontends an den Server (Besprechung)</t>
  </si>
  <si>
    <t>[Implementierung] Anbindung des Frontends an den Server (ParamSelection)</t>
  </si>
  <si>
    <t>[Implementierung] Anbindung des Frontends an den Server (AddJob)</t>
  </si>
  <si>
    <t>[Implementierung] Anbindung des Frontends an den Server (Debuggen)</t>
  </si>
  <si>
    <t>[Implementierung] Anbindung des Frontends an den Server</t>
  </si>
  <si>
    <t>[Implementierung] Anbindung des Frontends an den Server (nextJob)</t>
  </si>
  <si>
    <t>[Implementierung] Anbindung des Frontends an den Server (Bugs behoben)</t>
  </si>
  <si>
    <t>[Implementierung] Dockerfile erweitern</t>
  </si>
  <si>
    <t>[Implementierung] Wordcloud-Video Fehlerbehebung</t>
  </si>
  <si>
    <t>[Implementierung] Wordcloud Hintergrund transparent</t>
  </si>
  <si>
    <t>[Implementierung] Wordcloud-Funktionen verbessern</t>
  </si>
  <si>
    <t>[Implementierung] API-Endpunkte</t>
  </si>
  <si>
    <t>[Implementierung] kleinere Video Anpassungen</t>
  </si>
  <si>
    <t>[Entwurf] Restlichen Weather Icons überarbeiten</t>
  </si>
  <si>
    <t>[Implementierung] Optionen für Sätze bei ortsbezogenem Wetterbericht</t>
  </si>
  <si>
    <t>[Recherche] Twitter API Anfragen</t>
  </si>
  <si>
    <t>[Organisation] Programm auf ak-rt06 Testen</t>
  </si>
  <si>
    <t>[Organisation] Anleitung zur Verwendung der Speech Apis</t>
  </si>
  <si>
    <t>[Organisation] Statusbericht 07.07.2020</t>
  </si>
  <si>
    <t>[Implementierung] Transform und API Teil der Steps.json für Twitter</t>
  </si>
  <si>
    <t>[Organisation] Sprint-Planning (13.07.2020)</t>
  </si>
  <si>
    <t>[Organisation] Dokumentation schreiben (Statusbericht)</t>
  </si>
  <si>
    <t>[Organisation] Dokumentation schreiben (Projektbericht)</t>
  </si>
  <si>
    <t>[Organisation] Dokumentation schreiben (Dokumentation)</t>
  </si>
  <si>
    <t>[Organisation] Korrekturlesen</t>
  </si>
  <si>
    <t>[Implementierung] Thumbnail Erstellung</t>
  </si>
  <si>
    <t>[Implementierung] Option Fixer Video Name</t>
  </si>
  <si>
    <t>[Implementierung] Dynamische Wordcloud</t>
  </si>
  <si>
    <t>[Implementierung] Suche nach mehrere Hashtags</t>
  </si>
  <si>
    <t>[Implementierung] Job-Parameter - Überarbeitung der JSON-Struktur(Parameter)</t>
  </si>
  <si>
    <t>[Implementierung] Job-Parameter - Überarbeitung der JSON-Struktur(Frontend)</t>
  </si>
  <si>
    <t>[Implementierung] Job-Parameter - Überarbeitung der JSON-Struktur(debuggen)</t>
  </si>
  <si>
    <t>[Implementierung] Fehlermeldung im Docker-Container</t>
  </si>
  <si>
    <t>[Organisation] Statusbericht 14.07.2020</t>
  </si>
  <si>
    <t>[Implementierung] FFmpeg time_diff not working when audio file is to short</t>
  </si>
  <si>
    <t>[Implementierung] delete_old_videos not working</t>
  </si>
  <si>
    <t>[Implementierung] Fehler beim anzeigen der Jobs</t>
  </si>
  <si>
    <t>[Implementierung] Dockercontainer auf biebertal.mach-mit.tv einbinden</t>
  </si>
  <si>
    <t>[Implementierung] Requested Changes zu 494 einarbeiten</t>
  </si>
  <si>
    <t>[Implementierung] Config-Werte für twitter.json</t>
  </si>
  <si>
    <t>[Organisation] Dependencies updaten</t>
  </si>
  <si>
    <t>[Implementierung] Sequence Typ Mehrere Video hintereianander</t>
  </si>
  <si>
    <t>[Implementierung] Stopwords Wordcloud</t>
  </si>
  <si>
    <t>[Implementierung] Job-Parameter - Überarbeitung der JSON-Struktur (Design Parameter)</t>
  </si>
  <si>
    <t>[Implementierung] Job-Parameter - Überarbeitung der JSON-Struktur (Refactoring)</t>
  </si>
  <si>
    <t>[Implementierung] Job-Parameter - Überarbeitung der JSON-Struktur (Anpassung an Backend)</t>
  </si>
  <si>
    <t>[Implementierung] Job-Parameter - Überarbeitung der JSON-Struktur (Debuggen)</t>
  </si>
  <si>
    <t>[Implementierung] Job-Parameter - Überarbeitung der JSON-Struktur (weitere Anpassungen)</t>
  </si>
  <si>
    <t>[Implementierung] Job Namen ändern</t>
  </si>
  <si>
    <t>[Implementierung] Steps Config verbesserungen</t>
  </si>
  <si>
    <t>[Implementierung] Frontend kleine Anpassungen</t>
  </si>
  <si>
    <t>[Implementierung] transform-Type dictionary für Wort-Häufigkeit</t>
  </si>
  <si>
    <t>[Implementierung] Fehler in Wordcloud Parametern beheben</t>
  </si>
  <si>
    <t>[Implementierung] Farbverlauf-Funktion für Wordcloud</t>
  </si>
  <si>
    <t>[Implementierung] Api aufruf nach der generation des Videos</t>
  </si>
  <si>
    <t>[Implementierung] Style Fehler im Wordpress Plugin beheben</t>
  </si>
  <si>
    <t>[Implementierung] Fehler beim Server Start</t>
  </si>
  <si>
    <t xml:space="preserve">[Organisation] Installation auf akrt06 </t>
  </si>
  <si>
    <t>[Implementierung] Fehler im Fußballbericht</t>
  </si>
  <si>
    <t>[Implementierung] Dockerfile für Wordpress</t>
  </si>
  <si>
    <t xml:space="preserve">[Organisation] Statusbericht </t>
  </si>
  <si>
    <t>[Implementierung] Fehler in overlay.py beheben</t>
  </si>
  <si>
    <t>[Organisation] Sprint-Planning 27.07.2020</t>
  </si>
  <si>
    <t>[Implementierung] Job-Parameter - Überarbeitung der JSON-Struktur</t>
  </si>
  <si>
    <t>[Implementierung] Scheduler anpassen</t>
  </si>
  <si>
    <t>[Implementierung] Fehler bei der wordcloud</t>
  </si>
  <si>
    <t>[Organisation] Statusbericht 28.07.2020</t>
  </si>
  <si>
    <t>[Implementierung] Immer die neuste LeagaSeason beim Fußball bericht bekommen</t>
  </si>
  <si>
    <t>[Implementierung] Viedo name in Config speichern</t>
  </si>
  <si>
    <t>[Implementierung] Testen der encode-route</t>
  </si>
  <si>
    <t>[Implementierung] Thumbnail Anpassungen</t>
  </si>
  <si>
    <t>[Implementierung] Änderungen zu stopwords</t>
  </si>
  <si>
    <t>[Implementierung]Image presets verbessern</t>
  </si>
  <si>
    <t>[Implementierung]ffmpeg option keine bildübergänge</t>
  </si>
  <si>
    <t>[Organisation] Präsentation Datenaufbereitung, Wordcloud, Audio</t>
  </si>
  <si>
    <t>[Implementierung] Memory dateien löschen nach zeitraum</t>
  </si>
  <si>
    <t>[Organisation] Sprint-Planning 03.08.2020</t>
  </si>
  <si>
    <t>[Implementierung] Parameter für Hintergrundbild bei Wordcloud</t>
  </si>
  <si>
    <t>[Implementierung] Anpassung Texte für Audio</t>
  </si>
  <si>
    <t>[Implementierung] Neuen Azure-Key einbinden</t>
  </si>
  <si>
    <t>[Implementierung] ParamFields - Darstellung verbessern</t>
  </si>
  <si>
    <t>[Implementierung] Frontend - Ladekreis und Wordcloud Parameter</t>
  </si>
  <si>
    <t xml:space="preserve">[Implementierung] Programm bei str-c richtig beenden </t>
  </si>
  <si>
    <t>[Organisation] Statusbericht 05.08.2020</t>
  </si>
  <si>
    <t>[Implementierung] get_job_run_info() anpassen</t>
  </si>
  <si>
    <t>[Implementierung] LogInfos im Frontend anzeigen</t>
  </si>
  <si>
    <t>[Organisation] Tests für Wordcloud</t>
  </si>
  <si>
    <t xml:space="preserve">[Implementierung] Memory dateien löschen nach zeitraum 2 </t>
  </si>
  <si>
    <t>[Implementierung] Thumbnail Bildgröße</t>
  </si>
  <si>
    <t>[Implementierung] Job löschen anpassen</t>
  </si>
  <si>
    <t xml:space="preserve">[Organisation] Präsentationsvideo rendern </t>
  </si>
  <si>
    <t>[Organisation] Abschlusspräsentation vorbereiten</t>
  </si>
  <si>
    <t>[Organisation] Abschlusspräsentation zusammenstellen</t>
  </si>
  <si>
    <t>[Organisation] Abschlusspräsentation Teil 2</t>
  </si>
  <si>
    <t>[Organisation] Abschlusspräsentation Vorbereiten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</si>
</sst>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CCCC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" xfId="0" applyBorder="1"/>
    <xf numFmtId="0" fontId="9" fillId="0" borderId="29" xfId="0" applyFont="1" applyBorder="1"/>
    <xf numFmtId="0" fontId="8" fillId="0" borderId="17" xfId="0" applyFont="1" applyBorder="1"/>
    <xf numFmtId="0" fontId="0" fillId="2" borderId="1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14" fontId="0" fillId="0" borderId="38" xfId="0" applyNumberFormat="1" applyBorder="1"/>
    <xf numFmtId="14" fontId="0" fillId="0" borderId="0" xfId="0" applyNumberFormat="1" applyBorder="1"/>
    <xf numFmtId="14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38" xfId="0" applyBorder="1"/>
    <xf numFmtId="0" fontId="0" fillId="0" borderId="39" xfId="0" applyBorder="1"/>
    <xf numFmtId="14" fontId="0" fillId="0" borderId="41" xfId="0" applyNumberFormat="1" applyFill="1" applyBorder="1"/>
    <xf numFmtId="14" fontId="0" fillId="0" borderId="42" xfId="0" applyNumberFormat="1" applyFill="1" applyBorder="1"/>
    <xf numFmtId="0" fontId="0" fillId="0" borderId="0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45" xfId="0" applyBorder="1"/>
    <xf numFmtId="0" fontId="0" fillId="0" borderId="11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1" fillId="0" borderId="12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7" xfId="0" applyFont="1" applyFill="1" applyBorder="1" applyAlignment="1">
      <alignment horizontal="left"/>
    </xf>
    <xf numFmtId="21" fontId="0" fillId="0" borderId="8" xfId="0" applyNumberFormat="1" applyFont="1" applyBorder="1"/>
    <xf numFmtId="0" fontId="11" fillId="0" borderId="0" xfId="0" applyFont="1" applyBorder="1"/>
    <xf numFmtId="0" fontId="0" fillId="0" borderId="8" xfId="0" applyFont="1" applyBorder="1"/>
    <xf numFmtId="0" fontId="0" fillId="0" borderId="1" xfId="0" applyFont="1" applyFill="1" applyBorder="1" applyAlignment="1">
      <alignment horizontal="left"/>
    </xf>
    <xf numFmtId="0" fontId="0" fillId="0" borderId="47" xfId="0" applyBorder="1"/>
    <xf numFmtId="0" fontId="0" fillId="9" borderId="1" xfId="0" applyFill="1" applyBorder="1"/>
    <xf numFmtId="0" fontId="0" fillId="0" borderId="7" xfId="0" applyBorder="1"/>
    <xf numFmtId="21" fontId="0" fillId="0" borderId="8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8" xfId="0" applyFont="1" applyFill="1" applyBorder="1" applyAlignment="1">
      <alignment horizontal="left"/>
    </xf>
    <xf numFmtId="0" fontId="0" fillId="0" borderId="8" xfId="0" applyBorder="1"/>
    <xf numFmtId="0" fontId="0" fillId="0" borderId="0" xfId="0" applyFont="1" applyBorder="1"/>
    <xf numFmtId="0" fontId="0" fillId="0" borderId="19" xfId="0" applyFont="1" applyBorder="1"/>
    <xf numFmtId="0" fontId="0" fillId="0" borderId="19" xfId="0" applyFont="1" applyFill="1" applyBorder="1" applyAlignment="1">
      <alignment horizontal="left"/>
    </xf>
    <xf numFmtId="0" fontId="0" fillId="9" borderId="14" xfId="0" applyFont="1" applyFill="1" applyBorder="1"/>
    <xf numFmtId="0" fontId="0" fillId="9" borderId="22" xfId="0" applyFont="1" applyFill="1" applyBorder="1"/>
    <xf numFmtId="0" fontId="0" fillId="9" borderId="15" xfId="0" applyFont="1" applyFill="1" applyBorder="1"/>
    <xf numFmtId="0" fontId="0" fillId="0" borderId="20" xfId="0" applyFont="1" applyFill="1" applyBorder="1" applyAlignment="1">
      <alignment horizontal="left"/>
    </xf>
    <xf numFmtId="14" fontId="0" fillId="0" borderId="49" xfId="0" applyNumberFormat="1" applyFont="1" applyBorder="1"/>
    <xf numFmtId="0" fontId="0" fillId="0" borderId="49" xfId="0" applyBorder="1"/>
    <xf numFmtId="0" fontId="0" fillId="0" borderId="49" xfId="0" applyFont="1" applyBorder="1"/>
    <xf numFmtId="0" fontId="0" fillId="6" borderId="14" xfId="0" applyFont="1" applyFill="1" applyBorder="1"/>
    <xf numFmtId="0" fontId="0" fillId="6" borderId="24" xfId="0" applyFont="1" applyFill="1" applyBorder="1"/>
    <xf numFmtId="0" fontId="0" fillId="6" borderId="15" xfId="0" applyFont="1" applyFill="1" applyBorder="1"/>
    <xf numFmtId="0" fontId="0" fillId="0" borderId="17" xfId="0" applyFont="1" applyFill="1" applyBorder="1" applyAlignment="1">
      <alignment horizontal="left"/>
    </xf>
    <xf numFmtId="0" fontId="0" fillId="6" borderId="22" xfId="0" applyFont="1" applyFill="1" applyBorder="1"/>
    <xf numFmtId="0" fontId="0" fillId="0" borderId="49" xfId="0" applyFont="1" applyFill="1" applyBorder="1" applyAlignment="1">
      <alignment horizontal="left"/>
    </xf>
    <xf numFmtId="0" fontId="0" fillId="0" borderId="48" xfId="0" applyFont="1" applyFill="1" applyBorder="1" applyAlignment="1">
      <alignment horizontal="left"/>
    </xf>
    <xf numFmtId="0" fontId="0" fillId="0" borderId="48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8" xfId="0" applyFont="1" applyBorder="1" applyAlignment="1">
      <alignment horizontal="right"/>
    </xf>
    <xf numFmtId="21" fontId="0" fillId="0" borderId="0" xfId="0" applyNumberFormat="1"/>
    <xf numFmtId="14" fontId="0" fillId="0" borderId="49" xfId="0" applyNumberFormat="1" applyBorder="1"/>
    <xf numFmtId="21" fontId="0" fillId="0" borderId="8" xfId="0" applyNumberFormat="1" applyBorder="1" applyAlignment="1">
      <alignment horizontal="right"/>
    </xf>
    <xf numFmtId="0" fontId="0" fillId="0" borderId="48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7" xfId="0" applyBorder="1"/>
    <xf numFmtId="0" fontId="0" fillId="10" borderId="50" xfId="0" applyFont="1" applyFill="1" applyBorder="1"/>
    <xf numFmtId="0" fontId="14" fillId="10" borderId="51" xfId="0" applyFont="1" applyFill="1" applyBorder="1"/>
    <xf numFmtId="0" fontId="6" fillId="10" borderId="52" xfId="0" applyFont="1" applyFill="1" applyBorder="1"/>
    <xf numFmtId="0" fontId="0" fillId="0" borderId="12" xfId="0" applyBorder="1"/>
    <xf numFmtId="0" fontId="0" fillId="0" borderId="17" xfId="0" applyBorder="1" applyAlignment="1">
      <alignment horizontal="fill"/>
    </xf>
    <xf numFmtId="21" fontId="0" fillId="0" borderId="17" xfId="0" applyNumberFormat="1" applyBorder="1" applyAlignment="1">
      <alignment horizontal="fill"/>
    </xf>
    <xf numFmtId="0" fontId="1" fillId="0" borderId="17" xfId="0" applyFont="1" applyBorder="1" applyAlignment="1">
      <alignment horizontal="fill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39" xfId="0" applyFill="1" applyBorder="1" applyAlignment="1">
      <alignment horizontal="fill"/>
    </xf>
    <xf numFmtId="0" fontId="0" fillId="4" borderId="0" xfId="0" applyFill="1" applyBorder="1"/>
    <xf numFmtId="0" fontId="0" fillId="0" borderId="5" xfId="0" applyBorder="1"/>
    <xf numFmtId="0" fontId="0" fillId="11" borderId="60" xfId="0" applyFill="1" applyBorder="1"/>
    <xf numFmtId="0" fontId="0" fillId="11" borderId="5" xfId="0" applyFill="1" applyBorder="1"/>
    <xf numFmtId="0" fontId="0" fillId="11" borderId="2" xfId="0" applyFill="1" applyBorder="1"/>
    <xf numFmtId="165" fontId="0" fillId="0" borderId="0" xfId="0" applyNumberFormat="1"/>
    <xf numFmtId="0" fontId="0" fillId="0" borderId="62" xfId="0" applyBorder="1"/>
    <xf numFmtId="0" fontId="0" fillId="0" borderId="63" xfId="0" applyBorder="1"/>
    <xf numFmtId="0" fontId="0" fillId="0" borderId="0" xfId="0" applyAlignment="1">
      <alignment wrapText="1"/>
    </xf>
    <xf numFmtId="46" fontId="2" fillId="0" borderId="23" xfId="0" applyNumberFormat="1" applyFont="1" applyBorder="1" applyAlignment="1">
      <alignment horizontal="center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164" fontId="9" fillId="0" borderId="29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0" fillId="3" borderId="18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46" fontId="0" fillId="6" borderId="18" xfId="0" applyNumberFormat="1" applyFill="1" applyBorder="1" applyAlignment="1">
      <alignment horizontal="center" vertical="center"/>
    </xf>
    <xf numFmtId="0" fontId="16" fillId="6" borderId="54" xfId="0" applyFont="1" applyFill="1" applyBorder="1" applyAlignment="1">
      <alignment horizontal="center" vertical="center"/>
    </xf>
    <xf numFmtId="0" fontId="16" fillId="6" borderId="55" xfId="0" applyFont="1" applyFill="1" applyBorder="1" applyAlignment="1">
      <alignment horizontal="center" vertical="center"/>
    </xf>
    <xf numFmtId="0" fontId="16" fillId="6" borderId="56" xfId="0" applyFont="1" applyFill="1" applyBorder="1" applyAlignment="1">
      <alignment horizontal="center" vertical="center"/>
    </xf>
    <xf numFmtId="0" fontId="16" fillId="6" borderId="57" xfId="0" applyFont="1" applyFill="1" applyBorder="1" applyAlignment="1">
      <alignment horizontal="center" vertical="center"/>
    </xf>
    <xf numFmtId="0" fontId="16" fillId="6" borderId="58" xfId="0" applyFont="1" applyFill="1" applyBorder="1" applyAlignment="1">
      <alignment horizontal="center" vertical="center"/>
    </xf>
    <xf numFmtId="0" fontId="16" fillId="6" borderId="59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46" fontId="0" fillId="6" borderId="12" xfId="0" applyNumberFormat="1" applyFill="1" applyBorder="1" applyAlignment="1">
      <alignment horizontal="center" vertical="center"/>
    </xf>
    <xf numFmtId="46" fontId="0" fillId="6" borderId="6" xfId="0" applyNumberFormat="1" applyFill="1" applyBorder="1" applyAlignment="1">
      <alignment horizontal="center" vertical="center"/>
    </xf>
    <xf numFmtId="46" fontId="0" fillId="3" borderId="12" xfId="0" applyNumberFormat="1" applyFill="1" applyBorder="1" applyAlignment="1">
      <alignment horizontal="center" vertical="center"/>
    </xf>
    <xf numFmtId="46" fontId="0" fillId="3" borderId="6" xfId="0" applyNumberFormat="1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14" fontId="7" fillId="0" borderId="43" xfId="0" applyNumberFormat="1" applyFont="1" applyBorder="1" applyAlignment="1">
      <alignment horizontal="center"/>
    </xf>
    <xf numFmtId="14" fontId="7" fillId="0" borderId="44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14" fontId="0" fillId="0" borderId="33" xfId="0" applyNumberFormat="1" applyFill="1" applyBorder="1" applyAlignment="1">
      <alignment horizontal="center"/>
    </xf>
    <xf numFmtId="46" fontId="0" fillId="3" borderId="38" xfId="0" applyNumberForma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46" fontId="0" fillId="10" borderId="20" xfId="0" applyNumberFormat="1" applyFill="1" applyBorder="1" applyAlignment="1">
      <alignment horizontal="center" vertical="center"/>
    </xf>
    <xf numFmtId="46" fontId="0" fillId="10" borderId="21" xfId="0" applyNumberFormat="1" applyFill="1" applyBorder="1" applyAlignment="1">
      <alignment horizontal="center" vertical="center"/>
    </xf>
    <xf numFmtId="46" fontId="0" fillId="10" borderId="7" xfId="0" applyNumberFormat="1" applyFill="1" applyBorder="1" applyAlignment="1">
      <alignment horizontal="center" vertical="center"/>
    </xf>
    <xf numFmtId="46" fontId="0" fillId="10" borderId="8" xfId="0" applyNumberFormat="1" applyFill="1" applyBorder="1" applyAlignment="1">
      <alignment horizontal="center" vertical="center"/>
    </xf>
    <xf numFmtId="46" fontId="0" fillId="10" borderId="12" xfId="0" applyNumberFormat="1" applyFill="1" applyBorder="1" applyAlignment="1">
      <alignment horizontal="center" vertical="center"/>
    </xf>
    <xf numFmtId="46" fontId="0" fillId="10" borderId="38" xfId="0" applyNumberFormat="1" applyFill="1" applyBorder="1" applyAlignment="1">
      <alignment horizontal="center" vertical="center"/>
    </xf>
    <xf numFmtId="46" fontId="0" fillId="10" borderId="4" xfId="0" applyNumberFormat="1" applyFill="1" applyBorder="1" applyAlignment="1">
      <alignment horizontal="center" vertical="center"/>
    </xf>
    <xf numFmtId="46" fontId="0" fillId="10" borderId="19" xfId="0" applyNumberFormat="1" applyFill="1" applyBorder="1" applyAlignment="1">
      <alignment horizontal="center" vertical="center"/>
    </xf>
    <xf numFmtId="46" fontId="0" fillId="10" borderId="18" xfId="0" applyNumberFormat="1" applyFill="1" applyBorder="1" applyAlignment="1">
      <alignment horizontal="center" vertical="center"/>
    </xf>
    <xf numFmtId="46" fontId="0" fillId="3" borderId="49" xfId="0" applyNumberFormat="1" applyFill="1" applyBorder="1" applyAlignment="1">
      <alignment horizontal="center" vertical="center"/>
    </xf>
    <xf numFmtId="46" fontId="0" fillId="10" borderId="28" xfId="0" applyNumberFormat="1" applyFill="1" applyBorder="1" applyAlignment="1">
      <alignment horizontal="center" vertical="center"/>
    </xf>
    <xf numFmtId="46" fontId="0" fillId="10" borderId="49" xfId="0" applyNumberFormat="1" applyFill="1" applyBorder="1" applyAlignment="1">
      <alignment horizontal="center" vertical="center"/>
    </xf>
    <xf numFmtId="46" fontId="0" fillId="10" borderId="27" xfId="0" applyNumberFormat="1" applyFill="1" applyBorder="1" applyAlignment="1">
      <alignment horizontal="center" vertical="center"/>
    </xf>
    <xf numFmtId="46" fontId="0" fillId="10" borderId="48" xfId="0" applyNumberFormat="1" applyFill="1" applyBorder="1" applyAlignment="1">
      <alignment horizontal="center" vertical="center"/>
    </xf>
    <xf numFmtId="46" fontId="0" fillId="10" borderId="34" xfId="0" applyNumberFormat="1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7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/>
    </xf>
    <xf numFmtId="46" fontId="0" fillId="2" borderId="11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6" fontId="0" fillId="2" borderId="53" xfId="0" applyNumberForma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FFCCCC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checked="Checked" fmlaLink="$A$57" lockText="1" noThreeD="1"/>
</file>

<file path=xl/ctrlProps/ctrlProp9.xml><?xml version="1.0" encoding="utf-8"?>
<formControlPr xmlns="http://schemas.microsoft.com/office/spreadsheetml/2009/9/main" objectType="CheckBox" checked="Checked" fmlaLink="$A$58" lockText="1" noThreeD="1"/>
</file>

<file path=xl/ctrlProps/ctrlProp10.xml><?xml version="1.0" encoding="utf-8"?>
<formControlPr xmlns="http://schemas.microsoft.com/office/spreadsheetml/2009/9/main" objectType="CheckBox" checked="Checked" fmlaLink="$A$59" lockText="1" noThreeD="1"/>
</file>

<file path=xl/ctrlProps/ctrlProp11.xml><?xml version="1.0" encoding="utf-8"?>
<formControlPr xmlns="http://schemas.microsoft.com/office/spreadsheetml/2009/9/main" objectType="CheckBox" checked="Checked" fmlaLink="$A$60" lockText="1" noThreeD="1"/>
</file>

<file path=xl/ctrlProps/ctrlProp12.xml><?xml version="1.0" encoding="utf-8"?>
<formControlPr xmlns="http://schemas.microsoft.com/office/spreadsheetml/2009/9/main" objectType="CheckBox" checked="Checked" fmlaLink="$A$61" lockText="1" noThreeD="1"/>
</file>

<file path=xl/ctrlProps/ctrlProp13.xml><?xml version="1.0" encoding="utf-8"?>
<formControlPr xmlns="http://schemas.microsoft.com/office/spreadsheetml/2009/9/main" objectType="CheckBox" checked="Checked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CheckBox" checked="Checked" fmlaLink="$A$63" lockText="1" noThreeD="1"/>
</file>

<file path=xl/ctrlProps/ctrlProp16.xml><?xml version="1.0" encoding="utf-8"?>
<formControlPr xmlns="http://schemas.microsoft.com/office/spreadsheetml/2009/9/main" objectType="CheckBox" fmlaLink="$A$64" lockText="1" noThreeD="1"/>
</file>

<file path=xl/ctrlProps/ctrlProp17.xml><?xml version="1.0" encoding="utf-8"?>
<formControlPr xmlns="http://schemas.microsoft.com/office/spreadsheetml/2009/9/main" objectType="CheckBox" fmlaLink="$A$65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32</xdr:row>
          <xdr:rowOff>28575</xdr:rowOff>
        </xdr:from>
        <xdr:to>
          <xdr:col>7</xdr:col>
          <xdr:colOff>790575</xdr:colOff>
          <xdr:row>33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34</xdr:row>
          <xdr:rowOff>28575</xdr:rowOff>
        </xdr:from>
        <xdr:to>
          <xdr:col>7</xdr:col>
          <xdr:colOff>790575</xdr:colOff>
          <xdr:row>35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36</xdr:row>
          <xdr:rowOff>28575</xdr:rowOff>
        </xdr:from>
        <xdr:to>
          <xdr:col>7</xdr:col>
          <xdr:colOff>790575</xdr:colOff>
          <xdr:row>37</xdr:row>
          <xdr:rowOff>171450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5"/>
  <sheetViews>
    <sheetView tabSelected="1" zoomScaleNormal="100" workbookViewId="0">
      <selection activeCell="D37" sqref="D37:D38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65" t="s">
        <v>0</v>
      </c>
      <c r="B1" s="165"/>
      <c r="C1" s="165"/>
      <c r="D1" s="165"/>
      <c r="E1" s="165"/>
      <c r="F1" s="165"/>
      <c r="G1" s="165"/>
      <c r="H1" s="165"/>
      <c r="I1" s="165"/>
    </row>
    <row r="2" spans="1:34" ht="15.75" thickBot="1" x14ac:dyDescent="0.3">
      <c r="B2" s="1"/>
    </row>
    <row r="3" spans="1:34" ht="15.75" x14ac:dyDescent="0.25">
      <c r="A3" s="16" t="s">
        <v>9</v>
      </c>
      <c r="B3" s="16" t="s">
        <v>10</v>
      </c>
      <c r="H3" s="139" t="s">
        <v>42</v>
      </c>
      <c r="I3" s="132" t="s">
        <v>49</v>
      </c>
      <c r="J3" s="133"/>
      <c r="K3" s="133"/>
      <c r="L3" s="132" t="s">
        <v>50</v>
      </c>
      <c r="M3" s="133"/>
      <c r="N3" s="133"/>
      <c r="O3" s="132" t="s">
        <v>54</v>
      </c>
      <c r="P3" s="133"/>
      <c r="Q3" s="133"/>
      <c r="R3" s="132" t="s">
        <v>53</v>
      </c>
      <c r="S3" s="133"/>
      <c r="T3" s="134"/>
      <c r="U3" s="132" t="s">
        <v>52</v>
      </c>
      <c r="V3" s="133"/>
      <c r="W3" s="134"/>
      <c r="X3" s="132" t="s">
        <v>51</v>
      </c>
      <c r="Y3" s="133"/>
      <c r="Z3" s="134"/>
    </row>
    <row r="4" spans="1:34" x14ac:dyDescent="0.25">
      <c r="A4" s="8" t="s">
        <v>7</v>
      </c>
      <c r="B4" s="9">
        <v>42482</v>
      </c>
      <c r="C4" s="158" t="s">
        <v>11</v>
      </c>
      <c r="D4" s="162" t="s">
        <v>37</v>
      </c>
      <c r="E4" s="14"/>
      <c r="F4" s="14"/>
      <c r="G4" s="14"/>
      <c r="H4" s="140"/>
      <c r="I4" s="19" t="s">
        <v>38</v>
      </c>
      <c r="J4" s="18" t="s">
        <v>39</v>
      </c>
      <c r="K4" s="18" t="s">
        <v>40</v>
      </c>
      <c r="L4" s="19" t="s">
        <v>38</v>
      </c>
      <c r="M4" s="18" t="s">
        <v>39</v>
      </c>
      <c r="N4" s="18" t="s">
        <v>40</v>
      </c>
      <c r="O4" s="19" t="s">
        <v>38</v>
      </c>
      <c r="P4" s="18" t="s">
        <v>39</v>
      </c>
      <c r="Q4" s="18" t="s">
        <v>40</v>
      </c>
      <c r="R4" s="19" t="s">
        <v>38</v>
      </c>
      <c r="S4" s="18" t="s">
        <v>39</v>
      </c>
      <c r="T4" s="18" t="s">
        <v>40</v>
      </c>
      <c r="U4" s="19" t="s">
        <v>38</v>
      </c>
      <c r="V4" s="18" t="s">
        <v>39</v>
      </c>
      <c r="W4" s="18" t="s">
        <v>40</v>
      </c>
      <c r="X4" s="19" t="s">
        <v>38</v>
      </c>
      <c r="Y4" s="18" t="s">
        <v>39</v>
      </c>
      <c r="Z4" s="24" t="s">
        <v>40</v>
      </c>
    </row>
    <row r="5" spans="1:34" x14ac:dyDescent="0.25">
      <c r="A5" s="3" t="s">
        <v>8</v>
      </c>
      <c r="B5" s="4">
        <v>42486</v>
      </c>
      <c r="C5" s="159"/>
      <c r="D5" s="163"/>
      <c r="E5" s="28"/>
      <c r="F5" s="29"/>
      <c r="G5" s="30"/>
      <c r="H5" s="149"/>
      <c r="I5" s="120">
        <f>Pellekoorne!I4</f>
        <v>0.66666666666666663</v>
      </c>
      <c r="J5" s="122">
        <f>IF(A49=FALSE,I39/C42,I39/17)</f>
        <v>0.66176470588235292</v>
      </c>
      <c r="K5" s="135">
        <f>ROUNDDOWN(J5-I5,6)</f>
        <v>-4.901E-3</v>
      </c>
      <c r="L5" s="120">
        <f>Gutsche!I4</f>
        <v>0.75694444444444442</v>
      </c>
      <c r="M5" s="122">
        <f>IF(A49=FALSE,L39/C42,L39/17)</f>
        <v>0.66176470588235292</v>
      </c>
      <c r="N5" s="135">
        <f>ROUNDDOWN(M5-L5,6)</f>
        <v>-9.5179E-2</v>
      </c>
      <c r="O5" s="120">
        <f>Lapp!I4</f>
        <v>0.625</v>
      </c>
      <c r="P5" s="122">
        <f>IF(A49=FALSE,O39/C42,O39/17)</f>
        <v>0.66176470588235292</v>
      </c>
      <c r="Q5" s="135">
        <f t="shared" ref="Q5" si="0">ROUNDDOWN(P5-O5,6)</f>
        <v>3.6763999999999998E-2</v>
      </c>
      <c r="R5" s="120">
        <f>Martschenko!I4</f>
        <v>0.5625</v>
      </c>
      <c r="S5" s="122">
        <f>IF(A49=FALSE,R39/C42,R39/17)</f>
        <v>0.66176470588235292</v>
      </c>
      <c r="T5" s="124">
        <f t="shared" ref="T5" si="1">ROUNDDOWN(S5-R5,6)</f>
        <v>9.9264000000000005E-2</v>
      </c>
      <c r="U5" s="120">
        <f>Soboth!I4</f>
        <v>0.5</v>
      </c>
      <c r="V5" s="122">
        <f>IF(A49=FALSE,U39/C42,U39/14)</f>
        <v>0.8035714285714286</v>
      </c>
      <c r="W5" s="124">
        <f t="shared" ref="W5" si="2">ROUNDDOWN(V5-U5,6)</f>
        <v>0.30357099999999998</v>
      </c>
      <c r="X5" s="120">
        <f>Stephan!I4</f>
        <v>0.52083333333333337</v>
      </c>
      <c r="Y5" s="122">
        <f>IF(A49=FALSE,X39/C42,X39/17)</f>
        <v>0.66176470588235292</v>
      </c>
      <c r="Z5" s="124">
        <f t="shared" ref="Z5" si="3">ROUNDDOWN(Y5-X5,6)</f>
        <v>0.140931</v>
      </c>
    </row>
    <row r="6" spans="1:34" x14ac:dyDescent="0.25">
      <c r="A6" s="10" t="s">
        <v>7</v>
      </c>
      <c r="B6" s="11">
        <v>42489</v>
      </c>
      <c r="C6" s="158" t="s">
        <v>12</v>
      </c>
      <c r="D6" s="164"/>
      <c r="E6" s="25"/>
      <c r="F6" s="26"/>
      <c r="G6" s="27"/>
      <c r="H6" s="149"/>
      <c r="I6" s="121"/>
      <c r="J6" s="123"/>
      <c r="K6" s="136"/>
      <c r="L6" s="121"/>
      <c r="M6" s="123"/>
      <c r="N6" s="136"/>
      <c r="O6" s="121"/>
      <c r="P6" s="123"/>
      <c r="Q6" s="136"/>
      <c r="R6" s="121"/>
      <c r="S6" s="123"/>
      <c r="T6" s="125"/>
      <c r="U6" s="121"/>
      <c r="V6" s="123"/>
      <c r="W6" s="125"/>
      <c r="X6" s="121"/>
      <c r="Y6" s="123"/>
      <c r="Z6" s="125"/>
    </row>
    <row r="7" spans="1:34" ht="15.75" thickBot="1" x14ac:dyDescent="0.3">
      <c r="A7" s="5" t="s">
        <v>8</v>
      </c>
      <c r="B7" s="5">
        <v>42493</v>
      </c>
      <c r="C7" s="161"/>
      <c r="D7" s="155" t="s">
        <v>1</v>
      </c>
      <c r="E7" s="145" t="s">
        <v>35</v>
      </c>
      <c r="F7" s="146"/>
      <c r="G7" s="30"/>
      <c r="H7" s="147"/>
      <c r="I7" s="114">
        <f>Pellekoorne!I6</f>
        <v>0.86458333333333326</v>
      </c>
      <c r="J7" s="116">
        <f>IF(A50=FALSE,I40/C42,(I39-I5)/16)</f>
        <v>0.66145833333333337</v>
      </c>
      <c r="K7" s="137">
        <f t="shared" ref="K7" si="4">J7-I7</f>
        <v>-0.20312499999999989</v>
      </c>
      <c r="L7" s="114">
        <f>Gutsche!I6</f>
        <v>0.65833333333333333</v>
      </c>
      <c r="M7" s="116">
        <f>IF(A50=FALSE,L40/C42,(L39-L5)/16)</f>
        <v>0.65581597222222221</v>
      </c>
      <c r="N7" s="137">
        <f t="shared" ref="N7" si="5">M7-L7</f>
        <v>-2.517361111111116E-3</v>
      </c>
      <c r="O7" s="114">
        <f>Lapp!I6</f>
        <v>0.85763888888888895</v>
      </c>
      <c r="P7" s="116">
        <f>IF(A50=FALSE,O40/C42,(O39-O5)/16)</f>
        <v>0.6640625</v>
      </c>
      <c r="Q7" s="137">
        <f t="shared" ref="Q7" si="6">P7-O7</f>
        <v>-0.19357638888888895</v>
      </c>
      <c r="R7" s="114">
        <f>Martschenko!I6</f>
        <v>0.48611111111111105</v>
      </c>
      <c r="S7" s="116">
        <f>IF(A50=FALSE,R40/C42,(R39-R5)/16)</f>
        <v>0.66796875</v>
      </c>
      <c r="T7" s="118">
        <f t="shared" ref="T7" si="7">S7-R7</f>
        <v>0.18185763888888895</v>
      </c>
      <c r="U7" s="114">
        <f>Soboth!I6</f>
        <v>0.54166666666666674</v>
      </c>
      <c r="V7" s="116">
        <f>IF(A50=FALSE,U40/C42,(U39-U5)/13)</f>
        <v>0.82692307692307687</v>
      </c>
      <c r="W7" s="118">
        <f t="shared" ref="W7" si="8">V7-U7</f>
        <v>0.28525641025641013</v>
      </c>
      <c r="X7" s="114">
        <f>Stephan!I6</f>
        <v>0.69374999999999987</v>
      </c>
      <c r="Y7" s="116">
        <f>IF(A50=FALSE,X40/C42,(X39-X5)/16)</f>
        <v>0.67057291666666663</v>
      </c>
      <c r="Z7" s="118">
        <f t="shared" ref="Z7" si="9">Y7-X7</f>
        <v>-2.3177083333333237E-2</v>
      </c>
    </row>
    <row r="8" spans="1:34" x14ac:dyDescent="0.25">
      <c r="A8" s="8" t="s">
        <v>7</v>
      </c>
      <c r="B8" s="9">
        <v>42496</v>
      </c>
      <c r="C8" s="160" t="s">
        <v>13</v>
      </c>
      <c r="D8" s="155"/>
      <c r="E8" s="31"/>
      <c r="F8" s="2"/>
      <c r="G8" s="32"/>
      <c r="H8" s="147"/>
      <c r="I8" s="115"/>
      <c r="J8" s="117"/>
      <c r="K8" s="138"/>
      <c r="L8" s="115"/>
      <c r="M8" s="117"/>
      <c r="N8" s="138"/>
      <c r="O8" s="115"/>
      <c r="P8" s="117"/>
      <c r="Q8" s="138"/>
      <c r="R8" s="115"/>
      <c r="S8" s="117"/>
      <c r="T8" s="119"/>
      <c r="U8" s="115"/>
      <c r="V8" s="117"/>
      <c r="W8" s="119"/>
      <c r="X8" s="115"/>
      <c r="Y8" s="117"/>
      <c r="Z8" s="119"/>
    </row>
    <row r="9" spans="1:34" x14ac:dyDescent="0.25">
      <c r="A9" s="3" t="s">
        <v>8</v>
      </c>
      <c r="B9" s="4">
        <v>42500</v>
      </c>
      <c r="C9" s="159"/>
      <c r="D9" s="156" t="s">
        <v>2</v>
      </c>
      <c r="E9" s="28"/>
      <c r="F9" s="33"/>
      <c r="G9" s="34"/>
      <c r="H9" s="150"/>
      <c r="I9" s="120">
        <f>Pellekoorne!I8</f>
        <v>0.6923611111111112</v>
      </c>
      <c r="J9" s="122">
        <f>IF(A51=FALSE,I40/C42,(I39-I5-I7)/15)</f>
        <v>0.6479166666666667</v>
      </c>
      <c r="K9" s="135">
        <f t="shared" ref="K9" si="10">J9-I9</f>
        <v>-4.4444444444444509E-2</v>
      </c>
      <c r="L9" s="120">
        <f>Gutsche!I8</f>
        <v>0.69930555555555562</v>
      </c>
      <c r="M9" s="122">
        <f>IF(A51=FALSE,L40/C42,(L39-L5-L7)/15)</f>
        <v>0.65564814814814809</v>
      </c>
      <c r="N9" s="135">
        <f t="shared" ref="N9" si="11">M9-L9</f>
        <v>-4.3657407407407534E-2</v>
      </c>
      <c r="O9" s="120">
        <f>Lapp!I8</f>
        <v>0.87152777777777779</v>
      </c>
      <c r="P9" s="122">
        <f>IF(A51=FALSE,O40/C42,(O39-O5-O7)/15)</f>
        <v>0.65115740740740735</v>
      </c>
      <c r="Q9" s="135">
        <f t="shared" ref="Q9" si="12">P9-O9</f>
        <v>-0.22037037037037044</v>
      </c>
      <c r="R9" s="120">
        <f>Martschenko!I8</f>
        <v>1.0222222222222224</v>
      </c>
      <c r="S9" s="122">
        <f>IF(A51=FALSE,R40/C42,(R39-R5-R7)/15)</f>
        <v>0.68009259259259258</v>
      </c>
      <c r="T9" s="124">
        <f t="shared" ref="T9" si="13">S9-R9</f>
        <v>-0.34212962962962978</v>
      </c>
      <c r="U9" s="120">
        <f>Soboth!I8</f>
        <v>0.46180555555555552</v>
      </c>
      <c r="V9" s="122">
        <f>IF(A51=FALSE,U40/C42,(U39-U5-U7)/12)</f>
        <v>0.85069444444444453</v>
      </c>
      <c r="W9" s="124">
        <f t="shared" ref="W9" si="14">V9-U9</f>
        <v>0.38888888888888901</v>
      </c>
      <c r="X9" s="120">
        <f>Stephan!I8</f>
        <v>0.75138888888888888</v>
      </c>
      <c r="Y9" s="122">
        <f>IF(A51=FALSE,X40/C42,(X39-X5-X7)/15)</f>
        <v>0.66902777777777778</v>
      </c>
      <c r="Z9" s="124">
        <f t="shared" ref="Z9" si="15">Y9-X9</f>
        <v>-8.2361111111111107E-2</v>
      </c>
    </row>
    <row r="10" spans="1:34" x14ac:dyDescent="0.25">
      <c r="A10" s="8" t="s">
        <v>7</v>
      </c>
      <c r="B10" s="11">
        <v>42503</v>
      </c>
      <c r="C10" s="158" t="s">
        <v>14</v>
      </c>
      <c r="D10" s="156"/>
      <c r="E10" s="31"/>
      <c r="F10" s="2"/>
      <c r="G10" s="32"/>
      <c r="H10" s="150"/>
      <c r="I10" s="121"/>
      <c r="J10" s="123"/>
      <c r="K10" s="136"/>
      <c r="L10" s="121"/>
      <c r="M10" s="123"/>
      <c r="N10" s="136"/>
      <c r="O10" s="121"/>
      <c r="P10" s="123"/>
      <c r="Q10" s="136"/>
      <c r="R10" s="121"/>
      <c r="S10" s="123"/>
      <c r="T10" s="125"/>
      <c r="U10" s="121"/>
      <c r="V10" s="123"/>
      <c r="W10" s="125"/>
      <c r="X10" s="121"/>
      <c r="Y10" s="123"/>
      <c r="Z10" s="125"/>
    </row>
    <row r="11" spans="1:34" ht="15.75" thickBot="1" x14ac:dyDescent="0.3">
      <c r="A11" s="6" t="s">
        <v>8</v>
      </c>
      <c r="B11" s="5">
        <v>42507</v>
      </c>
      <c r="C11" s="161"/>
      <c r="D11" s="155" t="s">
        <v>3</v>
      </c>
      <c r="E11" s="143" t="s">
        <v>36</v>
      </c>
      <c r="F11" s="144"/>
      <c r="G11" s="30"/>
      <c r="H11" s="147"/>
      <c r="I11" s="114">
        <f>Pellekoorne!I10</f>
        <v>0.67708333333333337</v>
      </c>
      <c r="J11" s="116">
        <f>IF(A52=FALSE,I40/C42,(I39-I5-I7-I9)/14)</f>
        <v>0.64474206349206342</v>
      </c>
      <c r="K11" s="137">
        <f t="shared" ref="K11" si="16">J11-I11</f>
        <v>-3.2341269841269948E-2</v>
      </c>
      <c r="L11" s="114">
        <f>Gutsche!I10</f>
        <v>0.56666666666666665</v>
      </c>
      <c r="M11" s="116">
        <f>IF(A52=FALSE,L40/C42,(L39-L5-L7-L9)/14)</f>
        <v>0.65252976190476186</v>
      </c>
      <c r="N11" s="137">
        <f t="shared" ref="N11" si="17">M11-L11</f>
        <v>8.5863095238095211E-2</v>
      </c>
      <c r="O11" s="114">
        <f>Lapp!I10</f>
        <v>0.73263888888888884</v>
      </c>
      <c r="P11" s="116">
        <f>IF(A52=FALSE,O40/C42,(O39-O5-O7-O9)/14)</f>
        <v>0.63541666666666663</v>
      </c>
      <c r="Q11" s="137">
        <f t="shared" ref="Q11" si="18">P11-O11</f>
        <v>-9.722222222222221E-2</v>
      </c>
      <c r="R11" s="114">
        <f>Martschenko!I10</f>
        <v>0.50347222222222221</v>
      </c>
      <c r="S11" s="116">
        <f>IF(A52=FALSE,R40/C42,(R39-R5-R7-R9)/14)</f>
        <v>0.65565476190476191</v>
      </c>
      <c r="T11" s="118">
        <f t="shared" ref="T11" si="19">S11-R11</f>
        <v>0.1521825396825397</v>
      </c>
      <c r="U11" s="114">
        <f>Soboth!I10</f>
        <v>0.63194444444444442</v>
      </c>
      <c r="V11" s="116">
        <f>IF(A52=FALSE,U40/C42,(U39-U5-U7-U9)/11)</f>
        <v>0.88604797979797989</v>
      </c>
      <c r="W11" s="118">
        <f t="shared" ref="W11" si="20">V11-U11</f>
        <v>0.25410353535353547</v>
      </c>
      <c r="X11" s="114">
        <f>Stephan!I10</f>
        <v>0.81527777777777777</v>
      </c>
      <c r="Y11" s="116">
        <f>IF(A52=FALSE,X40/C42,(X39-X5-X7-X9)/14)</f>
        <v>0.6631448412698413</v>
      </c>
      <c r="Z11" s="118">
        <f t="shared" ref="Z11" si="21">Y11-X11</f>
        <v>-0.15213293650793647</v>
      </c>
    </row>
    <row r="12" spans="1:34" x14ac:dyDescent="0.25">
      <c r="A12" s="8" t="s">
        <v>7</v>
      </c>
      <c r="B12" s="9">
        <v>42510</v>
      </c>
      <c r="C12" s="160" t="s">
        <v>15</v>
      </c>
      <c r="D12" s="155"/>
      <c r="E12" s="31"/>
      <c r="F12" s="2"/>
      <c r="G12" s="32"/>
      <c r="H12" s="147"/>
      <c r="I12" s="115"/>
      <c r="J12" s="117"/>
      <c r="K12" s="138"/>
      <c r="L12" s="115"/>
      <c r="M12" s="117"/>
      <c r="N12" s="138"/>
      <c r="O12" s="115"/>
      <c r="P12" s="117"/>
      <c r="Q12" s="138"/>
      <c r="R12" s="115"/>
      <c r="S12" s="117"/>
      <c r="T12" s="119"/>
      <c r="U12" s="115"/>
      <c r="V12" s="117"/>
      <c r="W12" s="119"/>
      <c r="X12" s="115"/>
      <c r="Y12" s="117"/>
      <c r="Z12" s="119"/>
    </row>
    <row r="13" spans="1:34" x14ac:dyDescent="0.25">
      <c r="A13" s="3" t="s">
        <v>8</v>
      </c>
      <c r="B13" s="4">
        <v>42514</v>
      </c>
      <c r="C13" s="159"/>
      <c r="D13" s="156" t="s">
        <v>4</v>
      </c>
      <c r="E13" s="28"/>
      <c r="F13" s="29"/>
      <c r="G13" s="30"/>
      <c r="H13" s="147"/>
      <c r="I13" s="120">
        <f>Pellekoorne!I12</f>
        <v>0.76180555555555562</v>
      </c>
      <c r="J13" s="122">
        <f>IF(A53=FALSE,I40/C42,(I39-I5-I7-I9-I11)/13)</f>
        <v>0.64225427350427344</v>
      </c>
      <c r="K13" s="135">
        <f t="shared" ref="K13" si="22">J13-I13</f>
        <v>-0.11955128205128218</v>
      </c>
      <c r="L13" s="120">
        <f>Gutsche!I12</f>
        <v>0.5131944444444444</v>
      </c>
      <c r="M13" s="122">
        <f>IF(A53=FALSE,L40/C42,(L39-L5-L7-L9-L11)/13)</f>
        <v>0.65913461538461537</v>
      </c>
      <c r="N13" s="135">
        <f t="shared" ref="N13" si="23">M13-L13</f>
        <v>0.14594017094017098</v>
      </c>
      <c r="O13" s="120">
        <f>Lapp!I12</f>
        <v>0.77916666666666679</v>
      </c>
      <c r="P13" s="122">
        <f>IF(A53=FALSE,O40/C42,(O39-O5-O7-O9-O11)/13)</f>
        <v>0.62793803418803407</v>
      </c>
      <c r="Q13" s="135">
        <f t="shared" ref="Q13" si="24">P13-O13</f>
        <v>-0.15122863247863272</v>
      </c>
      <c r="R13" s="120">
        <f>Martschenko!I12</f>
        <v>0.59513888888888888</v>
      </c>
      <c r="S13" s="122">
        <f>IF(A53=FALSE,R40/C42,(R39-R5-R7-R9-R11)/13)</f>
        <v>0.66736111111111118</v>
      </c>
      <c r="T13" s="124">
        <f t="shared" ref="T13" si="25">S13-R13</f>
        <v>7.2222222222222299E-2</v>
      </c>
      <c r="U13" s="120">
        <f>Soboth!I12</f>
        <v>0.40277777777777779</v>
      </c>
      <c r="V13" s="122">
        <f>IF(A53=FALSE,U40/C42,(U39-U5-U7-U9-U11)/10)</f>
        <v>0.91145833333333337</v>
      </c>
      <c r="W13" s="124">
        <f t="shared" ref="W13" si="26">V13-U13</f>
        <v>0.50868055555555558</v>
      </c>
      <c r="X13" s="120">
        <f>Stephan!I12</f>
        <v>0.56944444444444442</v>
      </c>
      <c r="Y13" s="122">
        <f>IF(A53=FALSE,X40/C42,(X39-X5-X7-X9-X11)/13)</f>
        <v>0.65144230769230771</v>
      </c>
      <c r="Z13" s="124">
        <f t="shared" ref="Z13" si="27">Y13-X13</f>
        <v>8.199786324786329E-2</v>
      </c>
    </row>
    <row r="14" spans="1:34" x14ac:dyDescent="0.25">
      <c r="A14" s="8" t="s">
        <v>7</v>
      </c>
      <c r="B14" s="11">
        <v>42517</v>
      </c>
      <c r="C14" s="158" t="s">
        <v>16</v>
      </c>
      <c r="D14" s="156"/>
      <c r="E14" s="31"/>
      <c r="F14" s="2"/>
      <c r="G14" s="32"/>
      <c r="H14" s="147"/>
      <c r="I14" s="121"/>
      <c r="J14" s="123"/>
      <c r="K14" s="136"/>
      <c r="L14" s="121"/>
      <c r="M14" s="123"/>
      <c r="N14" s="136"/>
      <c r="O14" s="121"/>
      <c r="P14" s="123"/>
      <c r="Q14" s="136"/>
      <c r="R14" s="121"/>
      <c r="S14" s="123"/>
      <c r="T14" s="125"/>
      <c r="U14" s="121"/>
      <c r="V14" s="123"/>
      <c r="W14" s="125"/>
      <c r="X14" s="121"/>
      <c r="Y14" s="123"/>
      <c r="Z14" s="125"/>
    </row>
    <row r="15" spans="1:34" x14ac:dyDescent="0.25">
      <c r="A15" s="4" t="s">
        <v>8</v>
      </c>
      <c r="B15" s="12">
        <v>42521</v>
      </c>
      <c r="C15" s="159"/>
      <c r="D15" s="155" t="s">
        <v>5</v>
      </c>
      <c r="E15" s="28"/>
      <c r="F15" s="29"/>
      <c r="G15" s="30"/>
      <c r="H15" s="147"/>
      <c r="I15" s="114">
        <f>Pellekoorne!I14</f>
        <v>0.54166666666666663</v>
      </c>
      <c r="J15" s="116">
        <f>IF(A54=FALSE,I40/C42,(I39-I5-I7-I9-I11-I13)/12)</f>
        <v>0.63229166666666659</v>
      </c>
      <c r="K15" s="137">
        <f t="shared" ref="K15" si="28">J15-I15</f>
        <v>9.0624999999999956E-2</v>
      </c>
      <c r="L15" s="114">
        <f>Gutsche!I14</f>
        <v>0.53125</v>
      </c>
      <c r="M15" s="116">
        <f>IF(A54=FALSE,L40/C42,(L39-L5-L7-L9-L11-L13)/12)</f>
        <v>0.67129629629629628</v>
      </c>
      <c r="N15" s="137">
        <f t="shared" ref="N15" si="29">M15-L15</f>
        <v>0.14004629629629628</v>
      </c>
      <c r="O15" s="114">
        <f>Lapp!I14</f>
        <v>0.71874999999999989</v>
      </c>
      <c r="P15" s="116">
        <f>IF(A54=FALSE,O40/C42,(O39-O5-O7-O9-O11-O13)/12)</f>
        <v>0.61533564814814801</v>
      </c>
      <c r="Q15" s="137">
        <f t="shared" ref="Q15" si="30">P15-O15</f>
        <v>-0.10341435185185188</v>
      </c>
      <c r="R15" s="114">
        <f>Martschenko!I14</f>
        <v>0.40625</v>
      </c>
      <c r="S15" s="116">
        <f>IF(A54=FALSE,R40/C42,(R39-R5-R7-R9-R11-R13)/12)</f>
        <v>0.67337962962962983</v>
      </c>
      <c r="T15" s="118">
        <f t="shared" ref="T15" si="31">S15-R15</f>
        <v>0.26712962962962983</v>
      </c>
      <c r="U15" s="114">
        <f>Soboth!I14</f>
        <v>3.125E-2</v>
      </c>
      <c r="V15" s="116">
        <f>IF(A54=FALSE,U40/C42,(U39-U5-U7-U9-U11-U13)/9)</f>
        <v>0.96797839506172834</v>
      </c>
      <c r="W15" s="118">
        <f t="shared" ref="W15" si="32">V15-U15</f>
        <v>0.93672839506172834</v>
      </c>
      <c r="X15" s="114">
        <f>Stephan!I14</f>
        <v>0.88611111111111107</v>
      </c>
      <c r="Y15" s="116">
        <f>IF(A54=FALSE,X40/C42,(X39-X5-X7-X9-X11-X13)/12)</f>
        <v>0.65827546296296291</v>
      </c>
      <c r="Z15" s="118">
        <f t="shared" ref="Z15" si="33">Y15-X15</f>
        <v>-0.22783564814814816</v>
      </c>
    </row>
    <row r="16" spans="1:34" x14ac:dyDescent="0.25">
      <c r="A16" s="8" t="s">
        <v>7</v>
      </c>
      <c r="B16" s="9">
        <v>42524</v>
      </c>
      <c r="C16" s="158" t="s">
        <v>17</v>
      </c>
      <c r="D16" s="155"/>
      <c r="E16" s="31"/>
      <c r="F16" s="2"/>
      <c r="G16" s="32"/>
      <c r="H16" s="147"/>
      <c r="I16" s="115"/>
      <c r="J16" s="117"/>
      <c r="K16" s="138"/>
      <c r="L16" s="115"/>
      <c r="M16" s="117"/>
      <c r="N16" s="138"/>
      <c r="O16" s="115"/>
      <c r="P16" s="117"/>
      <c r="Q16" s="138"/>
      <c r="R16" s="115"/>
      <c r="S16" s="117"/>
      <c r="T16" s="119"/>
      <c r="U16" s="115"/>
      <c r="V16" s="117"/>
      <c r="W16" s="119"/>
      <c r="X16" s="115"/>
      <c r="Y16" s="117"/>
      <c r="Z16" s="119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3" t="s">
        <v>8</v>
      </c>
      <c r="B17" s="12">
        <v>42528</v>
      </c>
      <c r="C17" s="159"/>
      <c r="D17" s="156" t="s">
        <v>6</v>
      </c>
      <c r="E17" s="28"/>
      <c r="F17" s="29"/>
      <c r="G17" s="30"/>
      <c r="H17" s="147"/>
      <c r="I17" s="120">
        <f>Pellekoorne!I16</f>
        <v>0.76388888888888895</v>
      </c>
      <c r="J17" s="122">
        <f>IF(A55=FALSE,I40/C42,(I39-I5-I7-I9-I11-I13-I15)/11)</f>
        <v>0.64053030303030289</v>
      </c>
      <c r="K17" s="135">
        <f t="shared" ref="K17" si="34">J17-I17</f>
        <v>-0.12335858585858606</v>
      </c>
      <c r="L17" s="120">
        <f>Gutsche!I16</f>
        <v>0.96736111111111112</v>
      </c>
      <c r="M17" s="122">
        <f>IF(A55=FALSE,L40/C42,(L39-L5-L7-L9-L11-L13-L15)/11)</f>
        <v>0.68402777777777779</v>
      </c>
      <c r="N17" s="135">
        <f t="shared" ref="N17" si="35">M17-L17</f>
        <v>-0.28333333333333333</v>
      </c>
      <c r="O17" s="120">
        <f>Lapp!I16</f>
        <v>0.60416666666666674</v>
      </c>
      <c r="P17" s="122">
        <f>IF(A55=FALSE,O40/C42,(O39-O5-O7-O9-O11-O13-O15)/11)</f>
        <v>0.60593434343434327</v>
      </c>
      <c r="Q17" s="135">
        <f t="shared" ref="Q17" si="36">P17-O17</f>
        <v>1.7676767676765293E-3</v>
      </c>
      <c r="R17" s="120">
        <f>Martschenko!I16</f>
        <v>0.88888888888888895</v>
      </c>
      <c r="S17" s="122">
        <f>IF(A55=FALSE,R40/C42,(R39-R5-R7-R9-R11-R13-R15)/11)</f>
        <v>0.69766414141414157</v>
      </c>
      <c r="T17" s="124">
        <f t="shared" ref="T17" si="37">S17-R17</f>
        <v>-0.19122474747474738</v>
      </c>
      <c r="U17" s="126" t="s">
        <v>324</v>
      </c>
      <c r="V17" s="127"/>
      <c r="W17" s="128"/>
      <c r="X17" s="120">
        <f>Stephan!I16</f>
        <v>0.77499999999999991</v>
      </c>
      <c r="Y17" s="122">
        <f>IF(A55=FALSE,X40/C42,(X39-X5-X7-X9-X11-X13-X15)/11)</f>
        <v>0.63756313131313125</v>
      </c>
      <c r="Z17" s="124">
        <f t="shared" ref="Z17" si="38">Y17-X17</f>
        <v>-0.13743686868686866</v>
      </c>
    </row>
    <row r="18" spans="1:26" ht="15.75" customHeight="1" thickBot="1" x14ac:dyDescent="0.3">
      <c r="A18" s="10" t="s">
        <v>7</v>
      </c>
      <c r="B18" s="11">
        <v>42531</v>
      </c>
      <c r="C18" s="158" t="s">
        <v>18</v>
      </c>
      <c r="D18" s="156"/>
      <c r="E18" s="166" t="s">
        <v>48</v>
      </c>
      <c r="F18" s="167"/>
      <c r="G18" s="32"/>
      <c r="H18" s="147"/>
      <c r="I18" s="121"/>
      <c r="J18" s="123"/>
      <c r="K18" s="136"/>
      <c r="L18" s="121"/>
      <c r="M18" s="123"/>
      <c r="N18" s="136"/>
      <c r="O18" s="121"/>
      <c r="P18" s="123"/>
      <c r="Q18" s="136"/>
      <c r="R18" s="121"/>
      <c r="S18" s="123"/>
      <c r="T18" s="125"/>
      <c r="U18" s="129"/>
      <c r="V18" s="130"/>
      <c r="W18" s="131"/>
      <c r="X18" s="121"/>
      <c r="Y18" s="123"/>
      <c r="Z18" s="125"/>
    </row>
    <row r="19" spans="1:26" ht="15.75" thickBot="1" x14ac:dyDescent="0.3">
      <c r="A19" s="5" t="s">
        <v>8</v>
      </c>
      <c r="B19" s="5">
        <v>42535</v>
      </c>
      <c r="C19" s="161"/>
      <c r="D19" s="155" t="s">
        <v>28</v>
      </c>
      <c r="E19" s="141" t="s">
        <v>27</v>
      </c>
      <c r="F19" s="142"/>
      <c r="G19" s="30"/>
      <c r="H19" s="147"/>
      <c r="I19" s="114">
        <f>Pellekoorne!I18</f>
        <v>0.9409722222222221</v>
      </c>
      <c r="J19" s="116">
        <f>IF(A56=FALSE,I40/C42,(I39-I5-I7-I9-I11-I13-I15-I17)/10)</f>
        <v>0.62819444444444428</v>
      </c>
      <c r="K19" s="137">
        <f t="shared" ref="K19" si="39">J19-I19</f>
        <v>-0.31277777777777782</v>
      </c>
      <c r="L19" s="114">
        <f>Gutsche!I18</f>
        <v>0.72847222222222219</v>
      </c>
      <c r="M19" s="116">
        <f>IF(A56=FALSE,L40/C42,(L39-L5-L7-L9-L11-L13-L15-L17)/10)</f>
        <v>0.65569444444444447</v>
      </c>
      <c r="N19" s="137">
        <f t="shared" ref="N19" si="40">M19-L19</f>
        <v>-7.2777777777777719E-2</v>
      </c>
      <c r="O19" s="114">
        <f>Lapp!I18</f>
        <v>0.85277777777777786</v>
      </c>
      <c r="P19" s="116">
        <f>IF(A56=FALSE,O40/C42,(O39-O5-O7-O9-O11-O13-O15-O17)/10)</f>
        <v>0.60611111111111093</v>
      </c>
      <c r="Q19" s="137">
        <f t="shared" ref="Q19" si="41">P19-O19</f>
        <v>-0.24666666666666692</v>
      </c>
      <c r="R19" s="114">
        <f>Martschenko!I18</f>
        <v>0.59375</v>
      </c>
      <c r="S19" s="116">
        <f>IF(A56=FALSE,R40/C42,(R39-R5-R7-R9-R11-R13-R15-R17)/10)</f>
        <v>0.67854166666666682</v>
      </c>
      <c r="T19" s="118">
        <f t="shared" ref="T19" si="42">S19-R19</f>
        <v>8.4791666666666821E-2</v>
      </c>
      <c r="U19" s="114"/>
      <c r="V19" s="116"/>
      <c r="W19" s="118"/>
      <c r="X19" s="114">
        <f>Stephan!I18</f>
        <v>0.87986111111111098</v>
      </c>
      <c r="Y19" s="116">
        <f>IF(A56=FALSE,X40/C42,(X39-X5-X7-X9-X11-X13-X15-X17)/10)</f>
        <v>0.62381944444444437</v>
      </c>
      <c r="Z19" s="118">
        <f t="shared" ref="Z19" si="43">Y19-X19</f>
        <v>-0.25604166666666661</v>
      </c>
    </row>
    <row r="20" spans="1:26" x14ac:dyDescent="0.25">
      <c r="A20" s="8" t="s">
        <v>7</v>
      </c>
      <c r="B20" s="9">
        <v>42538</v>
      </c>
      <c r="C20" s="160" t="s">
        <v>19</v>
      </c>
      <c r="D20" s="155"/>
      <c r="H20" s="147"/>
      <c r="I20" s="115"/>
      <c r="J20" s="117"/>
      <c r="K20" s="138"/>
      <c r="L20" s="115"/>
      <c r="M20" s="117"/>
      <c r="N20" s="138"/>
      <c r="O20" s="115"/>
      <c r="P20" s="117"/>
      <c r="Q20" s="138"/>
      <c r="R20" s="115"/>
      <c r="S20" s="117"/>
      <c r="T20" s="119"/>
      <c r="U20" s="115"/>
      <c r="V20" s="117"/>
      <c r="W20" s="119"/>
      <c r="X20" s="115"/>
      <c r="Y20" s="117"/>
      <c r="Z20" s="119"/>
    </row>
    <row r="21" spans="1:26" x14ac:dyDescent="0.25">
      <c r="A21" s="3" t="s">
        <v>8</v>
      </c>
      <c r="B21" s="12">
        <v>42542</v>
      </c>
      <c r="C21" s="159"/>
      <c r="D21" s="156" t="s">
        <v>29</v>
      </c>
      <c r="E21" s="28"/>
      <c r="F21" s="29"/>
      <c r="G21" s="30"/>
      <c r="H21" s="147"/>
      <c r="I21" s="120">
        <f>Pellekoorne!I20</f>
        <v>0.54166666666666663</v>
      </c>
      <c r="J21" s="122">
        <f>IF(A57=FALSE,I40/C42,(I39-I5-I7-I9-I11-I13-I15-I17-I19)/9)</f>
        <v>0.59344135802469111</v>
      </c>
      <c r="K21" s="135">
        <f t="shared" ref="K21" si="44">J21-I21</f>
        <v>5.1774691358024483E-2</v>
      </c>
      <c r="L21" s="120">
        <f>Gutsche!I20</f>
        <v>0.68680555555555545</v>
      </c>
      <c r="M21" s="122">
        <f>IF(A57=FALSE,L40/C42,(L39-L5-L7-L9-L11-L13-L15-L17-L19)/9)</f>
        <v>0.64760802469135803</v>
      </c>
      <c r="N21" s="135">
        <f t="shared" ref="N21" si="45">M21-L21</f>
        <v>-3.9197530864197416E-2</v>
      </c>
      <c r="O21" s="120">
        <f>Lapp!I20</f>
        <v>0.75</v>
      </c>
      <c r="P21" s="122">
        <f>IF(A57=FALSE,O40/C42,(O39-O5-O7-O9-O11-O13-O15-O17-O19)/9)</f>
        <v>0.5787037037037035</v>
      </c>
      <c r="Q21" s="135">
        <f t="shared" ref="Q21" si="46">P21-O21</f>
        <v>-0.1712962962962965</v>
      </c>
      <c r="R21" s="120">
        <f>Martschenko!I20</f>
        <v>0.5625</v>
      </c>
      <c r="S21" s="122">
        <f>IF(A57=FALSE,R40/C42,(R39-R5-R7-R9-R11-R13-R15-R17-R19)/9)</f>
        <v>0.68796296296296311</v>
      </c>
      <c r="T21" s="124">
        <f t="shared" ref="T21" si="47">S21-R21</f>
        <v>0.12546296296296311</v>
      </c>
      <c r="U21" s="120"/>
      <c r="V21" s="122"/>
      <c r="W21" s="124"/>
      <c r="X21" s="120">
        <f>Stephan!I20</f>
        <v>0.61319444444444438</v>
      </c>
      <c r="Y21" s="122">
        <f>IF(A57=FALSE,X40/C42,(X39-X5-X7-X9-X11-X13-X15-X17-X19)/9)</f>
        <v>0.59537037037037033</v>
      </c>
      <c r="Z21" s="124">
        <f t="shared" ref="Z21" si="48">Y21-X21</f>
        <v>-1.7824074074074048E-2</v>
      </c>
    </row>
    <row r="22" spans="1:26" x14ac:dyDescent="0.25">
      <c r="A22" s="8" t="s">
        <v>7</v>
      </c>
      <c r="B22" s="11">
        <v>42545</v>
      </c>
      <c r="C22" s="158" t="s">
        <v>20</v>
      </c>
      <c r="D22" s="156"/>
      <c r="E22" s="31"/>
      <c r="F22" s="2"/>
      <c r="G22" s="32"/>
      <c r="H22" s="147"/>
      <c r="I22" s="121"/>
      <c r="J22" s="123"/>
      <c r="K22" s="136"/>
      <c r="L22" s="121"/>
      <c r="M22" s="123"/>
      <c r="N22" s="136"/>
      <c r="O22" s="121"/>
      <c r="P22" s="123"/>
      <c r="Q22" s="136"/>
      <c r="R22" s="121"/>
      <c r="S22" s="123"/>
      <c r="T22" s="125"/>
      <c r="U22" s="121"/>
      <c r="V22" s="123"/>
      <c r="W22" s="125"/>
      <c r="X22" s="121"/>
      <c r="Y22" s="123"/>
      <c r="Z22" s="125"/>
    </row>
    <row r="23" spans="1:26" x14ac:dyDescent="0.25">
      <c r="A23" s="4" t="s">
        <v>8</v>
      </c>
      <c r="B23" s="12">
        <v>42549</v>
      </c>
      <c r="C23" s="159"/>
      <c r="D23" s="155" t="s">
        <v>30</v>
      </c>
      <c r="E23" s="28"/>
      <c r="F23" s="29"/>
      <c r="G23" s="30"/>
      <c r="H23" s="147"/>
      <c r="I23" s="114">
        <f>Pellekoorne!I22</f>
        <v>0.75694444444444442</v>
      </c>
      <c r="J23" s="116">
        <f>IF(A58=FALSE,I40/C42,(I39-I5-I7-I9-I11-I13-I15-I17-I19-I21)/8)</f>
        <v>0.59991319444444413</v>
      </c>
      <c r="K23" s="137">
        <f t="shared" ref="K23" si="49">J23-I23</f>
        <v>-0.15703125000000029</v>
      </c>
      <c r="L23" s="114">
        <f>Gutsche!I22</f>
        <v>0.54583333333333328</v>
      </c>
      <c r="M23" s="116">
        <f>IF(A58=FALSE,L40/C42,(L39-L5-L7-L9-L11-L13-L15-L17-L19-L21)/8)</f>
        <v>0.64270833333333344</v>
      </c>
      <c r="N23" s="137">
        <f t="shared" ref="N23" si="50">M23-L23</f>
        <v>9.6875000000000155E-2</v>
      </c>
      <c r="O23" s="114">
        <f>Lapp!I22</f>
        <v>0.61805555555555558</v>
      </c>
      <c r="P23" s="116">
        <f>IF(A58=FALSE,O40/C42,(O39-O5-O7-O9-O11-O13-O15-O17-O19-O21)/8)</f>
        <v>0.55729166666666641</v>
      </c>
      <c r="Q23" s="137">
        <f t="shared" ref="Q23" si="51">P23-O23</f>
        <v>-6.0763888888889173E-2</v>
      </c>
      <c r="R23" s="114">
        <f>Martschenko!I22</f>
        <v>0.72569444444444442</v>
      </c>
      <c r="S23" s="116">
        <f>IF(A58=FALSE,R40/C42,(R39-R5-R7-R9-R11-R13-R15-R17-R19-R21)/8)</f>
        <v>0.70364583333333353</v>
      </c>
      <c r="T23" s="118">
        <f t="shared" ref="T23" si="52">S23-R23</f>
        <v>-2.2048611111110894E-2</v>
      </c>
      <c r="U23" s="114"/>
      <c r="V23" s="116"/>
      <c r="W23" s="118"/>
      <c r="X23" s="114">
        <f>Stephan!I22</f>
        <v>0.76666666666666661</v>
      </c>
      <c r="Y23" s="116">
        <f>IF(A58=FALSE,X40/C42,(X39-X5-X7-X9-X11-X13-X15-X17-X19-X21)/8)</f>
        <v>0.59314236111111107</v>
      </c>
      <c r="Z23" s="118">
        <f t="shared" ref="Z23" si="53">Y23-X23</f>
        <v>-0.17352430555555554</v>
      </c>
    </row>
    <row r="24" spans="1:26" x14ac:dyDescent="0.25">
      <c r="A24" s="8" t="s">
        <v>7</v>
      </c>
      <c r="B24" s="9">
        <v>42552</v>
      </c>
      <c r="C24" s="157" t="s">
        <v>21</v>
      </c>
      <c r="D24" s="155"/>
      <c r="E24" s="31"/>
      <c r="F24" s="2"/>
      <c r="G24" s="32"/>
      <c r="H24" s="147"/>
      <c r="I24" s="115"/>
      <c r="J24" s="117"/>
      <c r="K24" s="138"/>
      <c r="L24" s="115"/>
      <c r="M24" s="117"/>
      <c r="N24" s="138"/>
      <c r="O24" s="115"/>
      <c r="P24" s="117"/>
      <c r="Q24" s="138"/>
      <c r="R24" s="115"/>
      <c r="S24" s="117"/>
      <c r="T24" s="119"/>
      <c r="U24" s="115"/>
      <c r="V24" s="117"/>
      <c r="W24" s="119"/>
      <c r="X24" s="115"/>
      <c r="Y24" s="117"/>
      <c r="Z24" s="119"/>
    </row>
    <row r="25" spans="1:26" x14ac:dyDescent="0.25">
      <c r="A25" s="3" t="s">
        <v>8</v>
      </c>
      <c r="B25" s="12">
        <v>42556</v>
      </c>
      <c r="C25" s="157"/>
      <c r="D25" s="156" t="s">
        <v>31</v>
      </c>
      <c r="E25" s="36"/>
      <c r="F25" s="37"/>
      <c r="G25" s="38"/>
      <c r="H25" s="147"/>
      <c r="I25" s="120">
        <f>Pellekoorne!I24</f>
        <v>0.74791666666666667</v>
      </c>
      <c r="J25" s="122">
        <f>IF(A59=FALSE,I40/C42,(I39-I5-I7-I9-I11-I13-I15-I17-I19-I21-I23)/7)</f>
        <v>0.57748015873015834</v>
      </c>
      <c r="K25" s="135">
        <f t="shared" ref="K25" si="54">J25-I25</f>
        <v>-0.17043650793650833</v>
      </c>
      <c r="L25" s="120">
        <f>Gutsche!I24</f>
        <v>0.68402777777777779</v>
      </c>
      <c r="M25" s="122">
        <f>IF(A59=FALSE,L40/C42,(L39-L5-L7-L9-L11-L13-L15-L17-L19-L21-L23)/7)</f>
        <v>0.65654761904761916</v>
      </c>
      <c r="N25" s="135">
        <f t="shared" ref="N25" si="55">M25-L25</f>
        <v>-2.7480158730158633E-2</v>
      </c>
      <c r="O25" s="120">
        <f>Lapp!I24</f>
        <v>0.57430555555555551</v>
      </c>
      <c r="P25" s="122">
        <f>IF(A59=FALSE,O40/C42,(O39-O5-O7-O9-O11-O13-O15-O17-O19-O21-O23)/7)</f>
        <v>0.54861111111111083</v>
      </c>
      <c r="Q25" s="135">
        <f t="shared" ref="Q25" si="56">P25-O25</f>
        <v>-2.5694444444444686E-2</v>
      </c>
      <c r="R25" s="120">
        <f>Martschenko!I24</f>
        <v>0.64027777777777772</v>
      </c>
      <c r="S25" s="122">
        <f>IF(A59=FALSE,R40/C42,(R39-R5-R7-R9-R11-R13-R15-R17-R19-R21-R23)/7)</f>
        <v>0.70049603174603192</v>
      </c>
      <c r="T25" s="124">
        <f t="shared" ref="T25" si="57">S25-R25</f>
        <v>6.0218253968254198E-2</v>
      </c>
      <c r="U25" s="120"/>
      <c r="V25" s="122"/>
      <c r="W25" s="124"/>
      <c r="X25" s="120">
        <f>Stephan!I24</f>
        <v>0.64166666666666661</v>
      </c>
      <c r="Y25" s="122">
        <f>IF(A59=FALSE,X40/C42,(X39-X5-X7-X9-X11-X13-X15-X17-X19-X21-X23)/7)</f>
        <v>0.56835317460317458</v>
      </c>
      <c r="Z25" s="124">
        <f t="shared" ref="Z25" si="58">Y25-X25</f>
        <v>-7.3313492063492025E-2</v>
      </c>
    </row>
    <row r="26" spans="1:26" x14ac:dyDescent="0.25">
      <c r="A26" s="8" t="s">
        <v>7</v>
      </c>
      <c r="B26" s="11">
        <v>42559</v>
      </c>
      <c r="C26" s="157" t="s">
        <v>22</v>
      </c>
      <c r="D26" s="156"/>
      <c r="E26" s="39"/>
      <c r="F26" s="35"/>
      <c r="G26" s="40"/>
      <c r="H26" s="147"/>
      <c r="I26" s="121"/>
      <c r="J26" s="123"/>
      <c r="K26" s="136"/>
      <c r="L26" s="121"/>
      <c r="M26" s="123"/>
      <c r="N26" s="136"/>
      <c r="O26" s="121"/>
      <c r="P26" s="123"/>
      <c r="Q26" s="136"/>
      <c r="R26" s="121"/>
      <c r="S26" s="123"/>
      <c r="T26" s="125"/>
      <c r="U26" s="121"/>
      <c r="V26" s="123"/>
      <c r="W26" s="125"/>
      <c r="X26" s="121"/>
      <c r="Y26" s="123"/>
      <c r="Z26" s="125"/>
    </row>
    <row r="27" spans="1:26" x14ac:dyDescent="0.25">
      <c r="A27" s="4" t="s">
        <v>8</v>
      </c>
      <c r="B27" s="12">
        <v>42563</v>
      </c>
      <c r="C27" s="157"/>
      <c r="D27" s="155" t="s">
        <v>32</v>
      </c>
      <c r="E27" s="28"/>
      <c r="F27" s="29"/>
      <c r="G27" s="30"/>
      <c r="H27" s="147"/>
      <c r="I27" s="114">
        <f>Pellekoorne!I26</f>
        <v>0.68888888888888888</v>
      </c>
      <c r="J27" s="116">
        <f>IF(A60=FALSE,I40/C42,(I39-I5-I7-I9-I11-I13-I15-I17-I19-I21-I23-I25)/6)</f>
        <v>0.5490740740740736</v>
      </c>
      <c r="K27" s="137">
        <f t="shared" ref="K27" si="59">J27-I27</f>
        <v>-0.13981481481481528</v>
      </c>
      <c r="L27" s="114">
        <f>Gutsche!I26</f>
        <v>0.53680555555555554</v>
      </c>
      <c r="M27" s="116">
        <f>IF(A60=FALSE,L40/C42,(L39-L5-L7-L9-L11-L13-L15-L17-L19-L21-L23-L25)/6)</f>
        <v>0.65196759259259274</v>
      </c>
      <c r="N27" s="137">
        <f t="shared" ref="N27" si="60">M27-L27</f>
        <v>0.1151620370370372</v>
      </c>
      <c r="O27" s="114">
        <f>Lapp!I26</f>
        <v>0.2638888888888889</v>
      </c>
      <c r="P27" s="116">
        <f>IF(A60=FALSE,O40/C42,(O39-O5-O7-O9-O11-O13-O15-O17-O19-O21-O23-O25)/6)</f>
        <v>0.54432870370370334</v>
      </c>
      <c r="Q27" s="137">
        <f t="shared" ref="Q27" si="61">P27-O27</f>
        <v>0.28043981481481445</v>
      </c>
      <c r="R27" s="114">
        <f>Martschenko!I26</f>
        <v>0.61805555555555558</v>
      </c>
      <c r="S27" s="116">
        <f>IF(A60=FALSE,R40/C42,(R39-R5-R7-R9-R11-R13-R15-R17-R19-R21-R23-R25)/6)</f>
        <v>0.71053240740740764</v>
      </c>
      <c r="T27" s="118">
        <f t="shared" ref="T27" si="62">S27-R27</f>
        <v>9.247685185185206E-2</v>
      </c>
      <c r="U27" s="114"/>
      <c r="V27" s="116"/>
      <c r="W27" s="118"/>
      <c r="X27" s="114">
        <f>Stephan!I26</f>
        <v>0.70902777777777781</v>
      </c>
      <c r="Y27" s="116">
        <f>IF(A60=FALSE,X40/C42,(X39-X5-X7-X9-X11-X13-X15-X17-X19-X21-X23-X25)/6)</f>
        <v>0.55613425925925919</v>
      </c>
      <c r="Z27" s="118">
        <f t="shared" ref="Z27" si="63">Y27-X27</f>
        <v>-0.15289351851851862</v>
      </c>
    </row>
    <row r="28" spans="1:26" x14ac:dyDescent="0.25">
      <c r="A28" s="8" t="s">
        <v>7</v>
      </c>
      <c r="B28" s="9">
        <v>42566</v>
      </c>
      <c r="C28" s="157" t="s">
        <v>23</v>
      </c>
      <c r="D28" s="155"/>
      <c r="E28" s="31"/>
      <c r="F28" s="2"/>
      <c r="G28" s="32"/>
      <c r="H28" s="147"/>
      <c r="I28" s="115"/>
      <c r="J28" s="117"/>
      <c r="K28" s="138"/>
      <c r="L28" s="115"/>
      <c r="M28" s="117"/>
      <c r="N28" s="138"/>
      <c r="O28" s="115"/>
      <c r="P28" s="117"/>
      <c r="Q28" s="138"/>
      <c r="R28" s="115"/>
      <c r="S28" s="117"/>
      <c r="T28" s="119"/>
      <c r="U28" s="115"/>
      <c r="V28" s="117"/>
      <c r="W28" s="119"/>
      <c r="X28" s="115"/>
      <c r="Y28" s="117"/>
      <c r="Z28" s="119"/>
    </row>
    <row r="29" spans="1:26" x14ac:dyDescent="0.25">
      <c r="A29" s="3" t="s">
        <v>8</v>
      </c>
      <c r="B29" s="12">
        <v>42570</v>
      </c>
      <c r="C29" s="157"/>
      <c r="D29" s="156" t="s">
        <v>33</v>
      </c>
      <c r="E29" s="28"/>
      <c r="F29" s="29"/>
      <c r="G29" s="30"/>
      <c r="H29" s="147"/>
      <c r="I29" s="120">
        <f>Pellekoorne!I28</f>
        <v>0.31944444444444442</v>
      </c>
      <c r="J29" s="122">
        <f>IF(A61=FALSE,I40/C42,(I39-I5-I7-I9-I11-I13-I15-I17-I19-I21-I23-I25-I27)/5)</f>
        <v>0.52111111111111053</v>
      </c>
      <c r="K29" s="135">
        <f t="shared" ref="K29" si="64">J29-I29</f>
        <v>0.20166666666666611</v>
      </c>
      <c r="L29" s="120">
        <f>Gutsche!I28</f>
        <v>0.59097222222222212</v>
      </c>
      <c r="M29" s="122">
        <f>IF(A61=FALSE,L40/C42,(L39-L5-L7-L9-L11-L13-L15-L17-L19-L21-L23-L25-L27)/5)</f>
        <v>0.67500000000000016</v>
      </c>
      <c r="N29" s="135">
        <f t="shared" ref="N29" si="65">M29-L29</f>
        <v>8.4027777777778034E-2</v>
      </c>
      <c r="O29" s="120">
        <f>Lapp!I28</f>
        <v>0.35416666666666674</v>
      </c>
      <c r="P29" s="122">
        <f>IF(A61=FALSE,O40/C42,(O39-O5-O7-O9-O11-O13-O15-O17-O19-O21-O23-O25-O27)/5)</f>
        <v>0.60041666666666627</v>
      </c>
      <c r="Q29" s="135">
        <f t="shared" ref="Q29" si="66">P29-O29</f>
        <v>0.24624999999999952</v>
      </c>
      <c r="R29" s="120">
        <f>Martschenko!I28</f>
        <v>0.64930555555555547</v>
      </c>
      <c r="S29" s="122">
        <f>IF(A61=FALSE,R40/C42,(R39-R5-R7-R9-R11-R13-R15-R17-R19-R21-R23-R25-R27)/5)</f>
        <v>0.72902777777777816</v>
      </c>
      <c r="T29" s="124">
        <f t="shared" ref="T29" si="67">S29-R29</f>
        <v>7.9722222222222694E-2</v>
      </c>
      <c r="U29" s="120"/>
      <c r="V29" s="122"/>
      <c r="W29" s="124"/>
      <c r="X29" s="120">
        <f>Stephan!I28</f>
        <v>0.69930555555555551</v>
      </c>
      <c r="Y29" s="122">
        <f>IF(A61=FALSE,X40/C42,(X39-X5-X7-X9-X11-X13-X15-X17-X19-X21-X23-X25-X27)/5)</f>
        <v>0.52555555555555544</v>
      </c>
      <c r="Z29" s="124">
        <f t="shared" ref="Z29" si="68">Y29-X29</f>
        <v>-0.17375000000000007</v>
      </c>
    </row>
    <row r="30" spans="1:26" x14ac:dyDescent="0.25">
      <c r="A30" s="8" t="s">
        <v>7</v>
      </c>
      <c r="B30" s="11">
        <v>42573</v>
      </c>
      <c r="C30" s="157" t="s">
        <v>24</v>
      </c>
      <c r="D30" s="156"/>
      <c r="E30" s="31"/>
      <c r="F30" s="2"/>
      <c r="G30" s="32"/>
      <c r="H30" s="147"/>
      <c r="I30" s="121"/>
      <c r="J30" s="123"/>
      <c r="K30" s="136"/>
      <c r="L30" s="121"/>
      <c r="M30" s="123"/>
      <c r="N30" s="136"/>
      <c r="O30" s="121"/>
      <c r="P30" s="123"/>
      <c r="Q30" s="136"/>
      <c r="R30" s="121"/>
      <c r="S30" s="123"/>
      <c r="T30" s="125"/>
      <c r="U30" s="121"/>
      <c r="V30" s="123"/>
      <c r="W30" s="125"/>
      <c r="X30" s="121"/>
      <c r="Y30" s="123"/>
      <c r="Z30" s="125"/>
    </row>
    <row r="31" spans="1:26" x14ac:dyDescent="0.25">
      <c r="A31" s="4" t="s">
        <v>8</v>
      </c>
      <c r="B31" s="12">
        <v>42577</v>
      </c>
      <c r="C31" s="158"/>
      <c r="D31" s="155" t="s">
        <v>34</v>
      </c>
      <c r="E31" s="28"/>
      <c r="F31" s="29"/>
      <c r="G31" s="30"/>
      <c r="H31" s="147"/>
      <c r="I31" s="114">
        <f>Pellekoorne!I30</f>
        <v>0.36319444444444449</v>
      </c>
      <c r="J31" s="116">
        <f>IF(A62=FALSE,I40/C42,(I39-I5-I7-I9-I11-I13-I15-I17-I19-I21-I23-I25-I27-I29)/4)</f>
        <v>0.57152777777777697</v>
      </c>
      <c r="K31" s="137">
        <f t="shared" ref="K31:K37" si="69">J31-I31</f>
        <v>0.20833333333333248</v>
      </c>
      <c r="L31" s="114">
        <f>Gutsche!I30</f>
        <v>0.41111111111111109</v>
      </c>
      <c r="M31" s="116">
        <f>IF(A62=FALSE,$L$40/$C$42,($L$39-$L$5-$L$7-$L$9-$L$11-$L$13-$L$15-$L$17-$L$19-$L$21-$L$23-$L$25-$L$27-$L$29)/4)</f>
        <v>0.69600694444444466</v>
      </c>
      <c r="N31" s="118">
        <f t="shared" ref="N31:N37" si="70">M31-L31</f>
        <v>0.28489583333333357</v>
      </c>
      <c r="O31" s="114">
        <f>Lapp!I30</f>
        <v>0.54861111111111116</v>
      </c>
      <c r="P31" s="116">
        <f>IF(A62=FALSE,O40/C42,(O39-O5-O7-O9-O11-O13-O15-O17-O19-O21-O23-O25-O27-O29)/4)</f>
        <v>0.66197916666666612</v>
      </c>
      <c r="Q31" s="118">
        <f t="shared" ref="Q31:Q37" si="71">P31-O31</f>
        <v>0.11336805555555496</v>
      </c>
      <c r="R31" s="114">
        <f>Martschenko!I30</f>
        <v>0.30555555555555558</v>
      </c>
      <c r="S31" s="116">
        <f>IF(A62=FALSE,R40/C42,(R39-R5-R7-R9-R11-R13-R15-R17-R19-R21-R23-R25-R27-R29)/4)</f>
        <v>0.74895833333333384</v>
      </c>
      <c r="T31" s="118">
        <f t="shared" ref="T31:T37" si="72">S31-R31</f>
        <v>0.44340277777777826</v>
      </c>
      <c r="U31" s="114"/>
      <c r="V31" s="116"/>
      <c r="W31" s="118"/>
      <c r="X31" s="114">
        <f>Stephan!I30</f>
        <v>0.52847222222222223</v>
      </c>
      <c r="Y31" s="116">
        <f>IF(A62=FALSE,X40/C42,(X39-X5-X7-X9-X11-X13-X15-X17-X19-X21-X23-X25-X27-X29)/4)</f>
        <v>0.48211805555555542</v>
      </c>
      <c r="Z31" s="118">
        <f t="shared" ref="Z31:Z37" si="73">Y31-X31</f>
        <v>-4.6354166666666807E-2</v>
      </c>
    </row>
    <row r="32" spans="1:26" x14ac:dyDescent="0.25">
      <c r="A32" s="10" t="s">
        <v>7</v>
      </c>
      <c r="B32" s="9">
        <v>42580</v>
      </c>
      <c r="C32" s="158" t="s">
        <v>25</v>
      </c>
      <c r="D32" s="155"/>
      <c r="E32" s="105"/>
      <c r="F32" s="106"/>
      <c r="G32" s="41"/>
      <c r="H32" s="148"/>
      <c r="I32" s="115"/>
      <c r="J32" s="154"/>
      <c r="K32" s="151"/>
      <c r="L32" s="115"/>
      <c r="M32" s="117"/>
      <c r="N32" s="119"/>
      <c r="O32" s="115"/>
      <c r="P32" s="117"/>
      <c r="Q32" s="119"/>
      <c r="R32" s="115"/>
      <c r="S32" s="117"/>
      <c r="T32" s="119"/>
      <c r="U32" s="115"/>
      <c r="V32" s="117"/>
      <c r="W32" s="119"/>
      <c r="X32" s="115"/>
      <c r="Y32" s="117"/>
      <c r="Z32" s="119"/>
    </row>
    <row r="33" spans="1:26" x14ac:dyDescent="0.25">
      <c r="A33" s="99" t="s">
        <v>8</v>
      </c>
      <c r="B33" s="12">
        <v>42584</v>
      </c>
      <c r="C33" s="159"/>
      <c r="D33" s="156" t="s">
        <v>392</v>
      </c>
      <c r="G33" s="30"/>
      <c r="H33" s="147"/>
      <c r="I33" s="171">
        <f>Pellekoorne!I32</f>
        <v>0.68055555555555558</v>
      </c>
      <c r="J33" s="173">
        <f>IF(A63=FALSE,$I$40/$C$42,($I$39-$I$5-$I$7-$I$9-$I$11-$I$13-$I$15-$I$17-$I$19-$I$21-$I$23-$I$25-$I$27-$I$29-$I$31)/3)</f>
        <v>0.64097222222222117</v>
      </c>
      <c r="K33" s="175">
        <f t="shared" si="69"/>
        <v>-3.9583333333334414E-2</v>
      </c>
      <c r="L33" s="171">
        <f>Gutsche!I32</f>
        <v>0.4597222222222222</v>
      </c>
      <c r="M33" s="173">
        <f>IF(A63=FALSE,$L$40/$C$42,($L$39-$L$5-$L$7-$L$9-$L$11-$L$13-$L$15-$L$17-$L$19-$L$21-$L$23-$L$25-$L$27-$L$299-$L$31)/3)</f>
        <v>0.98796296296296326</v>
      </c>
      <c r="N33" s="178">
        <f t="shared" si="70"/>
        <v>0.52824074074074101</v>
      </c>
      <c r="O33" s="171">
        <f>Lapp!I32</f>
        <v>0.31944444444444442</v>
      </c>
      <c r="P33" s="174">
        <f>IF(A63=FALSE,O40/C42,(O39-O5-O7-O9-O11-O13-O15-O17-O19-O21-O23-O25-O27-O29-O31)/3)</f>
        <v>0.69976851851851773</v>
      </c>
      <c r="Q33" s="178">
        <f t="shared" si="71"/>
        <v>0.38032407407407332</v>
      </c>
      <c r="R33" s="171">
        <f>Martschenko!I32</f>
        <v>0.78472222222222221</v>
      </c>
      <c r="S33" s="173">
        <f>IF(A63=FALSE,R40/C42,(R39-R5-R7-R9-R11-R13-R15-R17-R19-R21-R23-R25-R27-R29-R31)/3)</f>
        <v>0.89675925925926003</v>
      </c>
      <c r="T33" s="178">
        <f t="shared" si="72"/>
        <v>0.11203703703703782</v>
      </c>
      <c r="U33" s="171"/>
      <c r="V33" s="173"/>
      <c r="W33" s="178"/>
      <c r="X33" s="171">
        <f>Stephan!I32</f>
        <v>0.87916666666666687</v>
      </c>
      <c r="Y33" s="174">
        <f>IF(A63=FALSE,X40/C42,(X39-X5-X7-X9-X11-X13-X15-X17-X19-X21-X23-X25-X27-X29-X31)/3)</f>
        <v>0.46666666666666651</v>
      </c>
      <c r="Z33" s="178">
        <f t="shared" si="73"/>
        <v>-0.41250000000000037</v>
      </c>
    </row>
    <row r="34" spans="1:26" ht="15.75" thickBot="1" x14ac:dyDescent="0.3">
      <c r="A34" s="8" t="s">
        <v>7</v>
      </c>
      <c r="B34" s="9">
        <v>42587</v>
      </c>
      <c r="C34" s="158" t="s">
        <v>389</v>
      </c>
      <c r="D34" s="156"/>
      <c r="G34" s="41"/>
      <c r="H34" s="148"/>
      <c r="I34" s="172"/>
      <c r="J34" s="174"/>
      <c r="K34" s="176"/>
      <c r="L34" s="172"/>
      <c r="M34" s="177"/>
      <c r="N34" s="179"/>
      <c r="O34" s="172"/>
      <c r="P34" s="177"/>
      <c r="Q34" s="179"/>
      <c r="R34" s="172"/>
      <c r="S34" s="177"/>
      <c r="T34" s="179"/>
      <c r="U34" s="172"/>
      <c r="V34" s="177"/>
      <c r="W34" s="179"/>
      <c r="X34" s="172"/>
      <c r="Y34" s="177"/>
      <c r="Z34" s="179"/>
    </row>
    <row r="35" spans="1:26" x14ac:dyDescent="0.25">
      <c r="A35" s="4" t="s">
        <v>8</v>
      </c>
      <c r="B35" s="4">
        <v>42591</v>
      </c>
      <c r="C35" s="159"/>
      <c r="D35" s="155" t="s">
        <v>393</v>
      </c>
      <c r="E35" s="101"/>
      <c r="F35" s="101"/>
      <c r="H35" s="147"/>
      <c r="I35" s="114">
        <f>Pellekoorne!I34</f>
        <v>0.18055555555555552</v>
      </c>
      <c r="J35" s="116">
        <f>IF(A64=FALSE,$I$40/$C$42,($I$39-$I$5-$I$7-$I$9-$I$11-$I$13-$I$15-$I$17-$I$19-$I$21-$I$23-$I$25-$I$27-$I$29-$I$31-$I$33)/2)</f>
        <v>0.62118055555555396</v>
      </c>
      <c r="K35" s="137">
        <f t="shared" si="69"/>
        <v>0.44062499999999843</v>
      </c>
      <c r="L35" s="114">
        <f>Gutsche!I34</f>
        <v>0.1388888888888889</v>
      </c>
      <c r="M35" s="116">
        <f>IF(A64=FALSE,$L$40/$C$42,($L$39-$L$5-$L$7-$L$9-$L$11-$L$13-$L$15-$L$17-$L$19-$L$21-$L$23-$L$25-$L$27-$L$29-$L$31-$L$33)/2)</f>
        <v>0.95659722222222276</v>
      </c>
      <c r="N35" s="118">
        <f t="shared" si="70"/>
        <v>0.81770833333333393</v>
      </c>
      <c r="O35" s="114">
        <f>Lapp!I34</f>
        <v>0.1388888888888889</v>
      </c>
      <c r="P35" s="154">
        <f>IF(A64=FALSE,O40/C42,(O39-O5-O7-O9-O11-O13-O15-O17-O19-O21-O23-O25-O27-O29-O31-O33)/2)</f>
        <v>0.88993055555555445</v>
      </c>
      <c r="Q35" s="118">
        <f t="shared" si="71"/>
        <v>0.7510416666666655</v>
      </c>
      <c r="R35" s="114">
        <f>Martschenko!I34</f>
        <v>0.18055555555555552</v>
      </c>
      <c r="S35" s="154">
        <f>IF(A64=FALSE,R40/C42,(R39-R5-R7-R9-R11-R13-R15-R17-R19-R21-R23-R25-R27-R29-R31-R33)/2)</f>
        <v>0.95277777777777883</v>
      </c>
      <c r="T35" s="118">
        <f t="shared" si="72"/>
        <v>0.77222222222222325</v>
      </c>
      <c r="U35" s="180"/>
      <c r="V35" s="154"/>
      <c r="W35" s="118"/>
      <c r="X35" s="114">
        <f>Stephan!I34</f>
        <v>0.18055555555555552</v>
      </c>
      <c r="Y35" s="116">
        <f>IF(A64=FALSE,X40/C42,(X39-X5-X7-X9-X11-X13-X15-X17-X19-X21-X23-X25-X27-X29-X31-X33)/2)</f>
        <v>0.2604166666666663</v>
      </c>
      <c r="Z35" s="118">
        <f t="shared" si="73"/>
        <v>7.9861111111110772E-2</v>
      </c>
    </row>
    <row r="36" spans="1:26" x14ac:dyDescent="0.25">
      <c r="A36" s="10" t="s">
        <v>7</v>
      </c>
      <c r="B36" s="11">
        <v>42594</v>
      </c>
      <c r="C36" s="158" t="s">
        <v>390</v>
      </c>
      <c r="D36" s="155"/>
      <c r="E36" s="169" t="s">
        <v>26</v>
      </c>
      <c r="F36" s="169"/>
      <c r="G36" s="41"/>
      <c r="H36" s="148"/>
      <c r="I36" s="115"/>
      <c r="J36" s="154"/>
      <c r="K36" s="151"/>
      <c r="L36" s="115"/>
      <c r="M36" s="117"/>
      <c r="N36" s="119"/>
      <c r="O36" s="115"/>
      <c r="P36" s="117"/>
      <c r="Q36" s="119"/>
      <c r="R36" s="115"/>
      <c r="S36" s="117"/>
      <c r="T36" s="119"/>
      <c r="U36" s="115"/>
      <c r="V36" s="117"/>
      <c r="W36" s="119"/>
      <c r="X36" s="115"/>
      <c r="Y36" s="117"/>
      <c r="Z36" s="119"/>
    </row>
    <row r="37" spans="1:26" ht="15.75" thickBot="1" x14ac:dyDescent="0.3">
      <c r="A37" s="7" t="s">
        <v>8</v>
      </c>
      <c r="B37" s="5">
        <v>42598</v>
      </c>
      <c r="C37" s="161"/>
      <c r="D37" s="156" t="s">
        <v>394</v>
      </c>
      <c r="E37" s="102"/>
      <c r="F37" s="103"/>
      <c r="H37" s="147"/>
      <c r="I37" s="171">
        <f>Pellekoorne!I36</f>
        <v>0</v>
      </c>
      <c r="J37" s="173">
        <f>IF(A65=FALSE,$I$40/$C$42,($I$39-$I$5-$I$7-$I$9-$I$11-$I$13-$I$15-$I$17-$I$19-$I$21-$I$23-$I$25-$I$27-$I$29-$I$31-$I$33-$I$35)/1)</f>
        <v>0.62118055555555396</v>
      </c>
      <c r="K37" s="175">
        <f t="shared" si="69"/>
        <v>0.62118055555555396</v>
      </c>
      <c r="L37" s="171">
        <f>Gutsche!I36</f>
        <v>0</v>
      </c>
      <c r="M37" s="173">
        <f>IF(A65=FALSE,$L$40/$C$42,($L$39-$L$5-$L$7-$L$9-$L$11-$L$13-$L$15-$L$17-$L$19-$L$21-$L$23-$L$25-$L$27-$L$29-$L$31-$L$33-$L$35)/1)</f>
        <v>0.95659722222222276</v>
      </c>
      <c r="N37" s="178">
        <f t="shared" si="70"/>
        <v>0.95659722222222276</v>
      </c>
      <c r="O37" s="171">
        <f>Lapp!I36</f>
        <v>0</v>
      </c>
      <c r="P37" s="174">
        <f>IF(A65=FALSE,O40/C42,(O39-O5-O7-O9-O11-O13-O15-O17-O19-O21-O23-O25-O27-O29-O31-O33-O35)/1)</f>
        <v>0.88993055555555445</v>
      </c>
      <c r="Q37" s="178">
        <f t="shared" si="71"/>
        <v>0.88993055555555445</v>
      </c>
      <c r="R37" s="171">
        <f>Martschenko!I36</f>
        <v>0</v>
      </c>
      <c r="S37" s="174">
        <f>IF(A65=FALSE,R40/C42,(R39-R5-R7-R9-R11-R13-R15-R17-R19-R21-R23-R25-R27-R29-R31-R33-R35)/1)</f>
        <v>0.95277777777777883</v>
      </c>
      <c r="T37" s="178">
        <f t="shared" si="72"/>
        <v>0.95277777777777883</v>
      </c>
      <c r="U37" s="182"/>
      <c r="V37" s="174"/>
      <c r="W37" s="184"/>
      <c r="X37" s="171">
        <f>Stephan!I36</f>
        <v>0</v>
      </c>
      <c r="Y37" s="174">
        <f>IF(A65=FALSE,X40/C42,(X39-X5-X7-X9-X11-X13-X15-X17-X19-X21-X23-X25-X27-X29-X31-X33-X35)/1)</f>
        <v>0.2604166666666663</v>
      </c>
      <c r="Z37" s="178">
        <f t="shared" si="73"/>
        <v>0.2604166666666663</v>
      </c>
    </row>
    <row r="38" spans="1:26" ht="15.75" thickBot="1" x14ac:dyDescent="0.3">
      <c r="A38" s="8" t="s">
        <v>7</v>
      </c>
      <c r="B38" s="9">
        <v>42601</v>
      </c>
      <c r="C38" s="168" t="s">
        <v>391</v>
      </c>
      <c r="D38" s="156"/>
      <c r="E38" s="105"/>
      <c r="F38" s="106"/>
      <c r="G38" s="41"/>
      <c r="H38" s="170"/>
      <c r="I38" s="172"/>
      <c r="J38" s="174"/>
      <c r="K38" s="176"/>
      <c r="L38" s="172"/>
      <c r="M38" s="177"/>
      <c r="N38" s="179"/>
      <c r="O38" s="172"/>
      <c r="P38" s="181"/>
      <c r="Q38" s="179"/>
      <c r="R38" s="172"/>
      <c r="S38" s="181"/>
      <c r="T38" s="179"/>
      <c r="U38" s="183"/>
      <c r="V38" s="181"/>
      <c r="W38" s="185"/>
      <c r="X38" s="172"/>
      <c r="Y38" s="181"/>
      <c r="Z38" s="179"/>
    </row>
    <row r="39" spans="1:26" ht="16.5" thickBot="1" x14ac:dyDescent="0.3">
      <c r="A39" s="7" t="s">
        <v>388</v>
      </c>
      <c r="B39" s="13">
        <v>42604</v>
      </c>
      <c r="C39" s="161"/>
      <c r="D39" s="100"/>
      <c r="E39" s="167" t="s">
        <v>395</v>
      </c>
      <c r="F39" s="167"/>
      <c r="H39" s="22" t="s">
        <v>43</v>
      </c>
      <c r="I39" s="108">
        <v>11.25</v>
      </c>
      <c r="J39" s="109"/>
      <c r="K39" s="109"/>
      <c r="L39" s="108">
        <v>11.25</v>
      </c>
      <c r="M39" s="109"/>
      <c r="N39" s="109"/>
      <c r="O39" s="108">
        <v>11.25</v>
      </c>
      <c r="P39" s="109"/>
      <c r="Q39" s="109"/>
      <c r="R39" s="108">
        <v>11.25</v>
      </c>
      <c r="S39" s="109"/>
      <c r="T39" s="110"/>
      <c r="U39" s="108">
        <v>11.25</v>
      </c>
      <c r="V39" s="109"/>
      <c r="W39" s="110"/>
      <c r="X39" s="108">
        <v>11.25</v>
      </c>
      <c r="Y39" s="109"/>
      <c r="Z39" s="110"/>
    </row>
    <row r="40" spans="1:26" ht="19.5" thickBot="1" x14ac:dyDescent="0.35">
      <c r="H40" s="21" t="s">
        <v>44</v>
      </c>
      <c r="I40" s="111">
        <f>IF(COUNTIF(A49:A65,TRUE)=0,I39,IF(COUNTIF(A49:A65,TRUE)=1,I39-I5,IF(COUNTIF(A49:A65,TRUE)=2,I39-I5-I7,IF(COUNTIF(A49:A65,TRUE) = 3,I39-I5-I7-I9,IF(COUNTIF(A49:A65,TRUE)=4,I39-I5-I7-I9-I11,IF(COUNTIF(A49:A65,TRUE) = 5,I39-I5-I7-I9-I11-I13,IF(COUNTIF(A49:A65,TRUE) = 6,I39-I5-I7-I9-I11-I13-I15,IF(COUNTIF(A49:A65,TRUE) = 7,I39-I5-I7-I9-I11-I13-I15-I17,IF(COUNTIF(A49:A65,TRUE) = 8,I39-I5-I7-I9-I11-I13-I15-I17-I19,IF(COUNTIF(A49:A65,TRUE) = 9,I39-I5-I7-I9-I11-I13-I15-I17-I19-I21,IF(COUNTIF(A49:A65,TRUE) = 10,I39-I5-I7-I9-I11-I13-I15-I17-I19-I21-I23,IF(COUNTIF(A49:A65,TRUE) = 11,I39-I5-I7-I9-I11-I13-I15-I17-I19-I21-I23-I25,IF(COUNTIF(A49:A65,TRUE) = 12,I39-I5-I7-I9-I11-I13-I15-I17-I19-I21-I23-I25-I27,IF(COUNTIF(A49:A65,TRUE) = 13,I39-I5-I7-I9-I11-I13-I15-I17-I19-I21-I23-I25-I27-I29,IF(COUNTIF(A49:A65,TRUE) = 14,I39-I5-I7-I9-I11-I13-I15-I17-I19-I21-I23-I25-I27-I29-I31,IF(COUNTIF(A49:A65,TRUE) = 15,I39-I5-I7-I9-I11-I13-I15-I17-I19-I21-I23-I25-I27-I29-I31-I33,IF(COUNTIF(A49:A65,TRUE) = 16,I39-I5-I7-I9-I11-I13-I15-I17-I19-I21-I23-I25-I27-I29-I31-I33-I35,IF(COUNTIF(A49:A65,TRUE) = 17,I39-I5-I7-I9-I11-I13-I15-I17-I19-I21-I23-I25-I27-I29-I31-I33-I35-I37,"falsche Eingabe"))))))))))))))))))</f>
        <v>1.2423611111111079</v>
      </c>
      <c r="J40" s="112"/>
      <c r="K40" s="112"/>
      <c r="L40" s="111">
        <f>IF(COUNTIF(A49:A65,TRUE)=0,L39,IF(COUNTIF(A49:A65,TRUE)=1,L39-L5,IF(COUNTIF(A49:A65,TRUE)=2,L39-L5-L7,IF(COUNTIF(A49:A65,TRUE) = 3,L39-L5-L7-L9,IF(COUNTIF(A49:A65,TRUE)=4,L39-L5-L7-L9-L11,IF(COUNTIF(A49:A65,TRUE) = 5,L39-L5-L7-L9-L11-L13,IF(COUNTIF(A49:A65,TRUE) = 6,L39-L5-L7-L9-L11-L13-L15,IF(COUNTIF(A49:A65,TRUE) = 7,L39-L5-L7-L9-L11-L13-L15-L17,IF(COUNTIF(A49:A65,TRUE) = 8,L39-L5-L7-L9-L11-L13-L15-L17-L19,IF(COUNTIF(A49:A65,TRUE) = 9,L39-L5-L7-L9-L11-L13-L15-L17-L19-L21,IF(COUNTIF(A49:A65,TRUE) = 10,L39-L5-L7-L9-L11-L13-L15-L17-L19-L21-L23,IF(COUNTIF(A49:A65,TRUE) = 11,L39-L5-L7-L9-L11-L13-L15-L17-L19-L21-L23-L25,IF(COUNTIF(A49:A65,TRUE) = 12,L39-L5-L7-L9-L11-L13-L15-L17-L19-L21-L23-L25-L27,IF(COUNTIF(A49:A65,TRUE) = 13,L39-L5-L7-L9-L11-L13-L15-L17-L19-L21-L23-L25-L27-L29,IF(COUNTIF(A49:A65,TRUE) = 14,L39-L5-L7-L9-L11-L13-L15-L17-L19-L21-L23-L25-L27-L29-L31,IF(COUNTIF(A49:A65,TRUE) = 15,L39-L5-L7-L9-L11-L13-L15-L17-L19-L21-L23-L25-L27-L29-L31-L33,IF(COUNTIF(A49:A65,TRUE) = 16,L39-L5-L7-L9-L11-L13-L15-L17-L19-L21-L23-L25-L27-L29-L31-L33-L35,IF(COUNTIF(A49:A65,TRUE) = 17,L39-L5-L7-L9-L11-L13-L15-L17-L19-L21-L23-L25-L27-L29-L31-L33-L35-L37,"falsche Eingabe"))))))))))))))))))</f>
        <v>1.9131944444444455</v>
      </c>
      <c r="M40" s="112"/>
      <c r="N40" s="112"/>
      <c r="O40" s="111">
        <f>IF(COUNTIF(A49:A65,TRUE)=0,O39,IF(COUNTIF(A49:A65,TRUE)=1,O39-O5,IF(COUNTIF(A49:A65,TRUE)=2,O39-O5-O7,IF(COUNTIF(A49:A65,TRUE) = 3,O39-O5-O7-O9,IF(COUNTIF(A49:A65,TRUE)=4,O39-O5-O7-O9-O11,IF(COUNTIF(A49:A65,TRUE) = 5,O39-O5-O7-O9-O11-O13,IF(COUNTIF(A49:A65,TRUE) = 6,O39-O5-O7-O9-O11-O13-O15,IF(COUNTIF(A49:A65,TRUE) = 7,O39-O5-O7-O9-O11-O13-O15-O17,IF(COUNTIF(A49:A65,TRUE) = 8,O39-O5-O7-O9-O11-O13-O15-O17-O19,IF(COUNTIF(A49:A65,TRUE) = 9,O39-O5-O7-O9-O11-O13-O15-O17-O19-O21,IF(COUNTIF(A49:A65,TRUE) = 10,O39-O5-O7-O9-O11-O13-O15-O17-O19-O21-O23,IF(COUNTIF(A49:A65,TRUE) = 11,O39-O5-O7-O9-O11-O13-O15-O17-O19-O21-O23-O25,IF(COUNTIF(A49:A65,TRUE) = 12,O39-O5-O7-O9-O11-O13-O15-O17-O19-O21-O23-O25-O27,IF(COUNTIF(A49:A65,TRUE) = 13,O39-O5-O7-O9-O11-O13-O15-O17-O19-O21-O23-O25-O27-O29,IF(COUNTIF(A49:A65,TRUE) = 14,O39-O5-O7-O9-O11-O13-O15-O17-O19-O21-O23-O25-O27-O29-O31,IF(COUNTIF(A49:A65,TRUE) = 15,O39-O5-O7-O9-O11-O13-O15-O17-O19-O21-O23-O25-O27-O29-O31-O33,IF(COUNTIF(A49:A65,TRUE) = 16,O39-O5-O7-O9-O11-O13-O15-O17-O19-O21-O23-O25-O27-O29-O31-O33-O35,IF(COUNTIF(A49:A65,TRUE) = 17,O39-O5-O7-O9-O11-O13-O15-O17-O19-O21-O23-O25-O27-O29-O31-O33-O35-O37,"falsche Eingabe"))))))))))))))))))</f>
        <v>1.7798611111111089</v>
      </c>
      <c r="P40" s="112"/>
      <c r="Q40" s="112"/>
      <c r="R40" s="111">
        <f>IF(COUNTIF(A49:A65,TRUE)=0,R39,IF(COUNTIF(A49:A65,TRUE)=1,R39-R5,IF(COUNTIF(A49:A65,TRUE)=2,R39-R5-R7,IF(COUNTIF(A49:A65,TRUE) = 3,R39-R5-R7-R9,IF(COUNTIF(A49:A65,TRUE)=4,R39-R5-R7-R9-R11,IF(COUNTIF(A49:A65,TRUE) = 5,R39-R5-R7-R9-R11-R13,IF(COUNTIF(A49:A65,TRUE) = 6,R39-R5-R7-R9-R11-R13-R15,IF(COUNTIF(A49:A65,TRUE) = 7,R39-R5-R7-R9-R11-R13-R15-R17,IF(COUNTIF(A49:A65,TRUE) = 8,R39-R5-R7-R9-R11-R13-R15-R17-R19,IF(COUNTIF(A49:A65,TRUE) = 9,R39-R5-R7-R9-R11-R13-R15-R17-R19-R21,IF(COUNTIF(A49:A65,TRUE) = 10,R39-R5-R7-R9-R11-R13-R15-R17-R19-R21-R23,IF(COUNTIF(A49:A65,TRUE) = 11,R39-R5-R7-R9-R11-R13-R15-R17-R19-R21-R23-R25,IF(COUNTIF(A49:A65,TRUE) = 12,R39-R5-R7-R9-R11-R13-R15-R17-R19-R21-R23-R25-R27,IF(COUNTIF(A49:A65,TRUE) = 13,R39-R5-R7-R9-R11-R13-R15-R17-R19-R21-R23-R25-R27-R29,IF(COUNTIF(A49:A65,TRUE) = 14,R39-R5-R7-R9-R11-R13-R15-R17-R19-R21-R23-R25-R27-R29-R31,IF(COUNTIF(A49:A65,TRUE) = 15,R39-R5-R7-R9-R11-R13-R15-R17-R19-R21-R23-R25-R27-R29-R31-R33,IF(COUNTIF(A49:A65,TRUE) = 16,R39-R5-R7-R9-R11-R13-R15-R17-R19-R21-R23-R25-R27-R29-R31-R33-R35,IF(COUNTIF(A49:A65,TRUE) = 17,R39-R5-R7-R9-R11-R13-R15-R17-R19-R21-R23-R25-R27-R29-R31-R33-R35-R37,"falsche Eingabe"))))))))))))))))))</f>
        <v>1.9055555555555577</v>
      </c>
      <c r="S40" s="112"/>
      <c r="T40" s="113"/>
      <c r="U40" s="111">
        <f>U39-SUM(U5:U16)</f>
        <v>8.6805555555555554</v>
      </c>
      <c r="V40" s="112"/>
      <c r="W40" s="113"/>
      <c r="X40" s="111">
        <f>IF(COUNTIF(A49:A65,TRUE)=0,X39,IF(COUNTIF(A49:A65,TRUE)=1,X39-X5,IF(COUNTIF(A49:A65,TRUE)=2,X39-X5-X7,IF(COUNTIF(A49:A65,TRUE) = 3,X39-X5-X7-X9,IF(COUNTIF(A49:A65,TRUE)=4,X39-X5-X7-X9-X11,IF(COUNTIF(A49:A65,TRUE) = 5,X39-X5-X7-X9-X11-X13,IF(COUNTIF(A49:A65,TRUE) = 6,X39-X5-X7-X9-X11-X13-X15,IF(COUNTIF(A49:A65,TRUE) = 7,X39-X5-X7-X9-X11-X13-X15-X17,IF(COUNTIF(A49:A65,TRUE) = 8,X39-X5-X7-X9-X11-X13-X15-X17-X19,IF(COUNTIF(A49:A65,TRUE) = 9,X39-X5-X7-X9-X11-X13-X15-X17-X19-X21,IF(COUNTIF(A49:A65,TRUE) = 10,X39-X5-X7-X9-X11-X13-X15-X17-X19-X21-X23,IF(COUNTIF(A49:A65,TRUE) = 11,X39-X5-X7-X9-X11-X13-X15-X17-X19-X21-X23-X25,IF(COUNTIF(A49:A65,TRUE) = 12,X39-X5-X7-X9-X11-X13-X15-X17-X19-X21-X23-X25-X27,IF(COUNTIF(A49:A65,TRUE) = 13,X39-X5-X7-X9-X11-X13-X15-X17-X19-X21-X23-X25-X27-X29,IF(COUNTIF(A49:A65,TRUE) = 14,X39-X5-X7-X9-X11-X13-X15-X17-X19-X21-X23-X25-X27-X29-X31,IF(COUNTIF(A49:A65,TRUE) = 15,X39-X5-X7-X9-X11-X13-X15-X17-X19-X21-X23-X25-X27-X29-X31-X33,IF(COUNTIF(A49:A65,TRUE) = 16,X39-X5-X7-X9-X11-X13-X15-X17-X19-X21-X23-X25-X27-X29-X31-X33-X35,IF(COUNTIF(A49:A65,TRUE) = 17,X39-X5-X7-X9-X11-X13-X15-X17-X19-X21-X23-X25-X27-X29-X31-X33-X35-X37,"falsche Eingabe"))))))))))))))))))</f>
        <v>0.52083333333333259</v>
      </c>
      <c r="Y40" s="112"/>
      <c r="Z40" s="113"/>
    </row>
    <row r="41" spans="1:26" x14ac:dyDescent="0.25">
      <c r="E41" s="2"/>
    </row>
    <row r="42" spans="1:26" x14ac:dyDescent="0.25">
      <c r="A42" s="152" t="s">
        <v>41</v>
      </c>
      <c r="B42" s="152"/>
      <c r="C42" s="153">
        <f>COUNTIF(A49:A65,FALSE)</f>
        <v>2</v>
      </c>
    </row>
    <row r="43" spans="1:26" x14ac:dyDescent="0.25">
      <c r="A43" s="152"/>
      <c r="B43" s="152"/>
      <c r="C43" s="153"/>
    </row>
    <row r="49" spans="1:1" x14ac:dyDescent="0.25">
      <c r="A49" s="104" t="b">
        <v>1</v>
      </c>
    </row>
    <row r="50" spans="1:1" x14ac:dyDescent="0.25">
      <c r="A50" s="104" t="b">
        <v>1</v>
      </c>
    </row>
    <row r="51" spans="1:1" x14ac:dyDescent="0.25">
      <c r="A51" s="104" t="b">
        <v>1</v>
      </c>
    </row>
    <row r="52" spans="1:1" x14ac:dyDescent="0.25">
      <c r="A52" s="104" t="b">
        <v>1</v>
      </c>
    </row>
    <row r="53" spans="1:1" x14ac:dyDescent="0.25">
      <c r="A53" s="104" t="b">
        <v>1</v>
      </c>
    </row>
    <row r="54" spans="1:1" x14ac:dyDescent="0.25">
      <c r="A54" s="104" t="b">
        <v>1</v>
      </c>
    </row>
    <row r="55" spans="1:1" x14ac:dyDescent="0.25">
      <c r="A55" s="104" t="b">
        <v>1</v>
      </c>
    </row>
    <row r="56" spans="1:1" x14ac:dyDescent="0.25">
      <c r="A56" s="104" t="b">
        <v>1</v>
      </c>
    </row>
    <row r="57" spans="1:1" x14ac:dyDescent="0.25">
      <c r="A57" s="104" t="b">
        <v>1</v>
      </c>
    </row>
    <row r="58" spans="1:1" x14ac:dyDescent="0.25">
      <c r="A58" s="104" t="b">
        <v>1</v>
      </c>
    </row>
    <row r="59" spans="1:1" x14ac:dyDescent="0.25">
      <c r="A59" s="104" t="b">
        <v>1</v>
      </c>
    </row>
    <row r="60" spans="1:1" x14ac:dyDescent="0.25">
      <c r="A60" s="104" t="b">
        <v>1</v>
      </c>
    </row>
    <row r="61" spans="1:1" x14ac:dyDescent="0.25">
      <c r="A61" s="104" t="b">
        <v>1</v>
      </c>
    </row>
    <row r="62" spans="1:1" x14ac:dyDescent="0.25">
      <c r="A62" s="104" t="b">
        <v>1</v>
      </c>
    </row>
    <row r="63" spans="1:1" x14ac:dyDescent="0.25">
      <c r="A63" s="104" t="b">
        <v>1</v>
      </c>
    </row>
    <row r="64" spans="1:1" x14ac:dyDescent="0.25">
      <c r="A64" s="104" t="b">
        <v>0</v>
      </c>
    </row>
    <row r="65" spans="1:1" x14ac:dyDescent="0.25">
      <c r="A65" s="104" t="b">
        <v>0</v>
      </c>
    </row>
  </sheetData>
  <mergeCells count="384">
    <mergeCell ref="R37:R38"/>
    <mergeCell ref="S37:S38"/>
    <mergeCell ref="T37:T38"/>
    <mergeCell ref="U37:U38"/>
    <mergeCell ref="V37:V38"/>
    <mergeCell ref="W37:W38"/>
    <mergeCell ref="X37:X38"/>
    <mergeCell ref="Y37:Y38"/>
    <mergeCell ref="Z37:Z38"/>
    <mergeCell ref="I37:I38"/>
    <mergeCell ref="J37:J38"/>
    <mergeCell ref="K37:K38"/>
    <mergeCell ref="L37:L38"/>
    <mergeCell ref="M37:M38"/>
    <mergeCell ref="N37:N38"/>
    <mergeCell ref="O37:O38"/>
    <mergeCell ref="P37:P38"/>
    <mergeCell ref="Q37:Q38"/>
    <mergeCell ref="R35:R36"/>
    <mergeCell ref="S35:S36"/>
    <mergeCell ref="T35:T36"/>
    <mergeCell ref="U35:U36"/>
    <mergeCell ref="V35:V36"/>
    <mergeCell ref="W35:W36"/>
    <mergeCell ref="X35:X36"/>
    <mergeCell ref="Y35:Y36"/>
    <mergeCell ref="Z35:Z36"/>
    <mergeCell ref="I35:I36"/>
    <mergeCell ref="J35:J36"/>
    <mergeCell ref="K35:K36"/>
    <mergeCell ref="L35:L36"/>
    <mergeCell ref="M35:M36"/>
    <mergeCell ref="N35:N36"/>
    <mergeCell ref="O35:O36"/>
    <mergeCell ref="P35:P36"/>
    <mergeCell ref="Q35:Q36"/>
    <mergeCell ref="R33:R34"/>
    <mergeCell ref="S33:S34"/>
    <mergeCell ref="T33:T34"/>
    <mergeCell ref="U33:U34"/>
    <mergeCell ref="V33:V34"/>
    <mergeCell ref="W33:W34"/>
    <mergeCell ref="X33:X34"/>
    <mergeCell ref="Y33:Y34"/>
    <mergeCell ref="Z33:Z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D33:D34"/>
    <mergeCell ref="D35:D36"/>
    <mergeCell ref="D37:D38"/>
    <mergeCell ref="C34:C35"/>
    <mergeCell ref="C36:C37"/>
    <mergeCell ref="C38:C39"/>
    <mergeCell ref="E36:F36"/>
    <mergeCell ref="E39:F39"/>
    <mergeCell ref="H33:H34"/>
    <mergeCell ref="H35:H36"/>
    <mergeCell ref="H37:H38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K31:K32"/>
    <mergeCell ref="A42:B43"/>
    <mergeCell ref="C42:C43"/>
    <mergeCell ref="I39:K39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M17:M18"/>
    <mergeCell ref="L17:L18"/>
    <mergeCell ref="L19:L20"/>
    <mergeCell ref="L21:L22"/>
    <mergeCell ref="L23:L24"/>
    <mergeCell ref="L25:L26"/>
    <mergeCell ref="L27:L28"/>
    <mergeCell ref="L7:L8"/>
    <mergeCell ref="L9:L10"/>
    <mergeCell ref="L11:L12"/>
    <mergeCell ref="L13:L14"/>
    <mergeCell ref="L15:L16"/>
    <mergeCell ref="M13:M14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M5:M6"/>
    <mergeCell ref="N5:N6"/>
    <mergeCell ref="O5:O6"/>
    <mergeCell ref="M11:M12"/>
    <mergeCell ref="N11:N12"/>
    <mergeCell ref="O11:O12"/>
    <mergeCell ref="H3:H4"/>
    <mergeCell ref="I40:K40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40:N40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P19:P20"/>
    <mergeCell ref="P11:P12"/>
    <mergeCell ref="L39:N39"/>
    <mergeCell ref="O29:O30"/>
    <mergeCell ref="P29:P30"/>
    <mergeCell ref="O31:O32"/>
    <mergeCell ref="P31:P32"/>
    <mergeCell ref="O25:O26"/>
    <mergeCell ref="P25:P26"/>
    <mergeCell ref="O27:O28"/>
    <mergeCell ref="P27:P28"/>
    <mergeCell ref="L31:L32"/>
    <mergeCell ref="T13:T14"/>
    <mergeCell ref="O39:Q39"/>
    <mergeCell ref="O40:Q40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R39:T39"/>
    <mergeCell ref="R40:T40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39:W39"/>
    <mergeCell ref="X39:Z39"/>
    <mergeCell ref="U40:W40"/>
    <mergeCell ref="X40:Z40"/>
    <mergeCell ref="U31:U32"/>
    <mergeCell ref="V31:V32"/>
    <mergeCell ref="W31:W32"/>
    <mergeCell ref="X31:X32"/>
    <mergeCell ref="Y31:Y32"/>
    <mergeCell ref="Z31:Z32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7</xdr:col>
                    <xdr:colOff>409575</xdr:colOff>
                    <xdr:row>32</xdr:row>
                    <xdr:rowOff>28575</xdr:rowOff>
                  </from>
                  <to>
                    <xdr:col>7</xdr:col>
                    <xdr:colOff>790575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7</xdr:col>
                    <xdr:colOff>409575</xdr:colOff>
                    <xdr:row>34</xdr:row>
                    <xdr:rowOff>28575</xdr:rowOff>
                  </from>
                  <to>
                    <xdr:col>7</xdr:col>
                    <xdr:colOff>790575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7</xdr:col>
                    <xdr:colOff>409575</xdr:colOff>
                    <xdr:row>36</xdr:row>
                    <xdr:rowOff>28575</xdr:rowOff>
                  </from>
                  <to>
                    <xdr:col>7</xdr:col>
                    <xdr:colOff>790575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8"/>
  <sheetViews>
    <sheetView workbookViewId="0">
      <selection activeCell="H23" sqref="H23:H24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90" t="s">
        <v>81</v>
      </c>
      <c r="B1" s="190"/>
      <c r="C1" s="190"/>
    </row>
    <row r="3" spans="1:9" x14ac:dyDescent="0.25">
      <c r="B3" s="191"/>
      <c r="C3" s="192" t="s">
        <v>57</v>
      </c>
      <c r="D3" s="192" t="s">
        <v>45</v>
      </c>
      <c r="E3" s="192" t="s">
        <v>58</v>
      </c>
      <c r="F3" s="192" t="s">
        <v>46</v>
      </c>
      <c r="G3" s="192" t="s">
        <v>55</v>
      </c>
      <c r="H3" s="192" t="s">
        <v>47</v>
      </c>
      <c r="I3" s="157" t="s">
        <v>43</v>
      </c>
    </row>
    <row r="4" spans="1:9" x14ac:dyDescent="0.25">
      <c r="B4" s="191"/>
      <c r="C4" s="192"/>
      <c r="D4" s="192"/>
      <c r="E4" s="192"/>
      <c r="F4" s="192"/>
      <c r="G4" s="192"/>
      <c r="H4" s="192"/>
      <c r="I4" s="157"/>
    </row>
    <row r="5" spans="1:9" x14ac:dyDescent="0.25">
      <c r="B5" s="162" t="s">
        <v>37</v>
      </c>
      <c r="C5" s="186">
        <f>SUM(Pellekoorne!C4,Gutsche!C4,Lapp!C4,Martschenko!C4,Soboth!C4,Stephan!C4)</f>
        <v>0</v>
      </c>
      <c r="D5" s="186">
        <f>SUM(Pellekoorne!D4,Gutsche!D4,Lapp!D4,Martschenko!D4,Soboth!D4,Stephan!D4)</f>
        <v>0</v>
      </c>
      <c r="E5" s="186">
        <f>SUM(Pellekoorne!E4,Gutsche!E4,Lapp!E4,Martschenko!E4,Soboth!E4,Stephan!E4)</f>
        <v>0.10416666666666667</v>
      </c>
      <c r="F5" s="186">
        <f>SUM(Pellekoorne!F4,Gutsche!F4,Lapp!F4,Martschenko!F4,Soboth!F4,Stephan!F4)</f>
        <v>1.4861111111111112</v>
      </c>
      <c r="G5" s="186">
        <f>SUM(Pellekoorne!G4,Gutsche!G4,Lapp!G4,Martschenko!G4,Soboth!G4,Stephan!G4)</f>
        <v>0.29166666666666663</v>
      </c>
      <c r="H5" s="186">
        <f>SUM(Pellekoorne!H4,Gutsche!H4,Lapp!H4,Martschenko!H4,Soboth!H4,Stephan!H4)</f>
        <v>1.7500000000000002</v>
      </c>
      <c r="I5" s="186">
        <f>SUM(C5:H6)</f>
        <v>3.6319444444444446</v>
      </c>
    </row>
    <row r="6" spans="1:9" x14ac:dyDescent="0.25">
      <c r="B6" s="164"/>
      <c r="C6" s="187"/>
      <c r="D6" s="187"/>
      <c r="E6" s="187"/>
      <c r="F6" s="187"/>
      <c r="G6" s="187"/>
      <c r="H6" s="187"/>
      <c r="I6" s="187"/>
    </row>
    <row r="7" spans="1:9" x14ac:dyDescent="0.25">
      <c r="B7" s="188" t="s">
        <v>1</v>
      </c>
      <c r="C7" s="186">
        <f>SUM(Pellekoorne!C6,Gutsche!C6,Lapp!C6,Martschenko!C6,Soboth!C6,Stephan!C6)</f>
        <v>1.2923611111111113</v>
      </c>
      <c r="D7" s="186">
        <f>SUM(Pellekoorne!D6,Gutsche!D6,Lapp!D6,Martschenko!D6,Soboth!D6,Stephan!D6)</f>
        <v>0.12222222222222222</v>
      </c>
      <c r="E7" s="186">
        <f>SUM(Pellekoorne!E6,Gutsche!E6,Lapp!E6,Martschenko!E6,Soboth!E6,Stephan!E6)</f>
        <v>0.51388888888888884</v>
      </c>
      <c r="F7" s="186">
        <f>SUM(Pellekoorne!F6,Gutsche!F6,Lapp!F6,Martschenko!F6,Soboth!F6,Stephan!F6)</f>
        <v>0.3125</v>
      </c>
      <c r="G7" s="186">
        <f>SUM(Pellekoorne!G6,Gutsche!G6,Lapp!G6,Martschenko!G6,Soboth!G6,Stephan!G6)</f>
        <v>1.3611111111111112</v>
      </c>
      <c r="H7" s="186">
        <f>SUM(Pellekoorne!H6,Gutsche!H6,Lapp!H6,Martschenko!H6,Soboth!H6,Stephan!H6)</f>
        <v>0.49999999999999994</v>
      </c>
      <c r="I7" s="186">
        <f t="shared" ref="I7" si="0">SUM(C7:H8)</f>
        <v>4.1020833333333329</v>
      </c>
    </row>
    <row r="8" spans="1:9" x14ac:dyDescent="0.25">
      <c r="B8" s="189"/>
      <c r="C8" s="187"/>
      <c r="D8" s="187"/>
      <c r="E8" s="187"/>
      <c r="F8" s="187"/>
      <c r="G8" s="187"/>
      <c r="H8" s="187"/>
      <c r="I8" s="187"/>
    </row>
    <row r="9" spans="1:9" x14ac:dyDescent="0.25">
      <c r="B9" s="188" t="s">
        <v>2</v>
      </c>
      <c r="C9" s="186">
        <f>SUM(Pellekoorne!C8,Gutsche!C8,Lapp!C8,Martschenko!C8,Soboth!C8,Stephan!C8)</f>
        <v>2.1701388888888888</v>
      </c>
      <c r="D9" s="186">
        <f>SUM(Pellekoorne!D8,Gutsche!D8,Lapp!D8,Martschenko!D8,Soboth!D8,Stephan!D8)</f>
        <v>8.5416666666666669E-2</v>
      </c>
      <c r="E9" s="186">
        <f>SUM(Pellekoorne!E8,Gutsche!E8,Lapp!E8,Martschenko!E8,Soboth!E8,Stephan!E8)</f>
        <v>0.64305555555555571</v>
      </c>
      <c r="F9" s="186">
        <f>SUM(Pellekoorne!F8,Gutsche!F8,Lapp!F8,Martschenko!F8,Soboth!F8,Stephan!F8)</f>
        <v>0.1388888888888889</v>
      </c>
      <c r="G9" s="186">
        <f>SUM(Pellekoorne!G8,Gutsche!G8,Lapp!G8,Martschenko!G8,Soboth!G8,Stephan!G8)</f>
        <v>0.76249999999999996</v>
      </c>
      <c r="H9" s="186">
        <f>SUM(Pellekoorne!H8,Gutsche!H8,Lapp!H8,Martschenko!H8,Soboth!H8,Stephan!H8)</f>
        <v>0.69861111111111096</v>
      </c>
      <c r="I9" s="186">
        <f t="shared" ref="I9" si="1">SUM(C9:H10)</f>
        <v>4.4986111111111109</v>
      </c>
    </row>
    <row r="10" spans="1:9" x14ac:dyDescent="0.25">
      <c r="B10" s="189"/>
      <c r="C10" s="187"/>
      <c r="D10" s="187"/>
      <c r="E10" s="187"/>
      <c r="F10" s="187"/>
      <c r="G10" s="187"/>
      <c r="H10" s="187"/>
      <c r="I10" s="187"/>
    </row>
    <row r="11" spans="1:9" x14ac:dyDescent="0.25">
      <c r="B11" s="188" t="s">
        <v>3</v>
      </c>
      <c r="C11" s="186">
        <f>SUM(Pellekoorne!C10,Gutsche!C10,Lapp!C10,Martschenko!C10,Soboth!C10,Stephan!C10)</f>
        <v>1.9145833333333333</v>
      </c>
      <c r="D11" s="186">
        <f>SUM(Pellekoorne!D10,Gutsche!D10,Lapp!D10,Martschenko!D10,Soboth!D10,Stephan!D10)</f>
        <v>0.13194444444444445</v>
      </c>
      <c r="E11" s="186">
        <f>SUM(Pellekoorne!E10,Gutsche!E10,Lapp!E10,Martschenko!E10,Soboth!E10,Stephan!E10)</f>
        <v>0.3125</v>
      </c>
      <c r="F11" s="186">
        <f>SUM(Pellekoorne!F10,Gutsche!F10,Lapp!F10,Martschenko!F10,Soboth!F10,Stephan!F10)</f>
        <v>0.39097222222222228</v>
      </c>
      <c r="G11" s="186">
        <f>SUM(Pellekoorne!G10,Gutsche!G10,Lapp!G10,Martschenko!G10,Soboth!G10,Stephan!G10)</f>
        <v>0.66666666666666663</v>
      </c>
      <c r="H11" s="186">
        <f>SUM(Pellekoorne!H10,Gutsche!H10,Lapp!H10,Martschenko!H10,Soboth!H10,Stephan!H10)</f>
        <v>0.51041666666666663</v>
      </c>
      <c r="I11" s="186">
        <f t="shared" ref="I11" si="2">SUM(C11:H12)</f>
        <v>3.927083333333333</v>
      </c>
    </row>
    <row r="12" spans="1:9" x14ac:dyDescent="0.25">
      <c r="B12" s="189"/>
      <c r="C12" s="187"/>
      <c r="D12" s="187"/>
      <c r="E12" s="187"/>
      <c r="F12" s="187"/>
      <c r="G12" s="187"/>
      <c r="H12" s="187"/>
      <c r="I12" s="187"/>
    </row>
    <row r="13" spans="1:9" x14ac:dyDescent="0.25">
      <c r="B13" s="188" t="s">
        <v>4</v>
      </c>
      <c r="C13" s="186">
        <f>SUM(Pellekoorne!C12,Gutsche!C12,Lapp!C12,Martschenko!C12,Soboth!C12,Stephan!C12)</f>
        <v>2.0562499999999999</v>
      </c>
      <c r="D13" s="186">
        <f>SUM(Pellekoorne!D12,Gutsche!D12,Lapp!D12,Martschenko!D12,Soboth!D12,Stephan!D12)</f>
        <v>0.13819444444444445</v>
      </c>
      <c r="E13" s="186">
        <f>SUM(Pellekoorne!E12,Gutsche!E12,Lapp!E12,Martschenko!E12,Soboth!E12,Stephan!E12)</f>
        <v>0.2013888888888889</v>
      </c>
      <c r="F13" s="186">
        <f>SUM(Pellekoorne!F12,Gutsche!F12,Lapp!F12,Martschenko!F12,Soboth!F12,Stephan!F12)</f>
        <v>0.35416666666666669</v>
      </c>
      <c r="G13" s="186">
        <f>SUM(Pellekoorne!G12,Gutsche!G12,Lapp!G12,Martschenko!G12,Soboth!G12,Stephan!G12)</f>
        <v>0.4548611111111111</v>
      </c>
      <c r="H13" s="186">
        <f>SUM(Pellekoorne!H12,Gutsche!H12,Lapp!H12,Martschenko!H12,Soboth!H12,Stephan!H12)</f>
        <v>0.41666666666666663</v>
      </c>
      <c r="I13" s="186">
        <f t="shared" ref="I13" si="3">SUM(C13:H14)</f>
        <v>3.6215277777777772</v>
      </c>
    </row>
    <row r="14" spans="1:9" x14ac:dyDescent="0.25">
      <c r="B14" s="189"/>
      <c r="C14" s="187"/>
      <c r="D14" s="187"/>
      <c r="E14" s="187"/>
      <c r="F14" s="187"/>
      <c r="G14" s="187"/>
      <c r="H14" s="187"/>
      <c r="I14" s="187"/>
    </row>
    <row r="15" spans="1:9" x14ac:dyDescent="0.25">
      <c r="B15" s="188" t="s">
        <v>5</v>
      </c>
      <c r="C15" s="186">
        <f>SUM(Pellekoorne!C14,Gutsche!C14,Lapp!C14,Martschenko!C14,Soboth!C14,Stephan!C14)</f>
        <v>1.4437500000000001</v>
      </c>
      <c r="D15" s="186">
        <f>SUM(Pellekoorne!D14,Gutsche!D14,Lapp!D14,Martschenko!D14,Soboth!D14,Stephan!D14)</f>
        <v>0.22430555555555554</v>
      </c>
      <c r="E15" s="186">
        <f>SUM(Pellekoorne!E14,Gutsche!E14,Lapp!E14,Martschenko!E14,Soboth!E14,Stephan!E14)</f>
        <v>8.3333333333333329E-2</v>
      </c>
      <c r="F15" s="186">
        <f>SUM(Pellekoorne!F14,Gutsche!F14,Lapp!F14,Martschenko!F14,Soboth!F14,Stephan!F14)</f>
        <v>0</v>
      </c>
      <c r="G15" s="186">
        <f>SUM(Pellekoorne!G14,Gutsche!G14,Lapp!G14,Martschenko!G14,Soboth!G14,Stephan!G14)</f>
        <v>0.64861111111111114</v>
      </c>
      <c r="H15" s="186">
        <f>SUM(Pellekoorne!H14,Gutsche!H14,Lapp!H14,Martschenko!H14,Soboth!H14,Stephan!H14)</f>
        <v>0.71527777777777768</v>
      </c>
      <c r="I15" s="186">
        <f t="shared" ref="I15" si="4">SUM(C15:H16)</f>
        <v>3.1152777777777776</v>
      </c>
    </row>
    <row r="16" spans="1:9" x14ac:dyDescent="0.25">
      <c r="B16" s="189"/>
      <c r="C16" s="187"/>
      <c r="D16" s="187"/>
      <c r="E16" s="187"/>
      <c r="F16" s="187"/>
      <c r="G16" s="187"/>
      <c r="H16" s="187"/>
      <c r="I16" s="187"/>
    </row>
    <row r="17" spans="2:9" x14ac:dyDescent="0.25">
      <c r="B17" s="188" t="s">
        <v>6</v>
      </c>
      <c r="C17" s="186">
        <f>SUM(Pellekoorne!C16,Gutsche!C16,Lapp!C16,Martschenko!C16,Soboth!C16,Stephan!C16)</f>
        <v>2.259722222222222</v>
      </c>
      <c r="D17" s="186">
        <f>SUM(Pellekoorne!D16,Gutsche!D16,Lapp!D16,Martschenko!D16,Soboth!D16,Stephan!D16)</f>
        <v>3.125E-2</v>
      </c>
      <c r="E17" s="186">
        <f>SUM(Pellekoorne!E16,Gutsche!E16,Lapp!E16,Martschenko!E16,Soboth!E16,Stephan!E16)</f>
        <v>0</v>
      </c>
      <c r="F17" s="186">
        <f>SUM(Pellekoorne!F16,Gutsche!F16,Lapp!F16,Martschenko!F16,Soboth!F16,Stephan!F16)</f>
        <v>0</v>
      </c>
      <c r="G17" s="186">
        <f>SUM(Pellekoorne!G16,Gutsche!G16,Lapp!G16,Martschenko!G16,Soboth!G16,Stephan!G16)</f>
        <v>1.2430555555555556</v>
      </c>
      <c r="H17" s="186">
        <f>SUM(Pellekoorne!H16,Gutsche!H16,Lapp!H16,Martschenko!H16,Soboth!H16,Stephan!H16)</f>
        <v>0.46527777777777785</v>
      </c>
      <c r="I17" s="186">
        <f t="shared" ref="I17" si="5">SUM(C17:H18)</f>
        <v>3.999305555555555</v>
      </c>
    </row>
    <row r="18" spans="2:9" x14ac:dyDescent="0.25">
      <c r="B18" s="189"/>
      <c r="C18" s="187"/>
      <c r="D18" s="187"/>
      <c r="E18" s="187"/>
      <c r="F18" s="187"/>
      <c r="G18" s="187"/>
      <c r="H18" s="187"/>
      <c r="I18" s="187"/>
    </row>
    <row r="19" spans="2:9" x14ac:dyDescent="0.25">
      <c r="B19" s="188" t="s">
        <v>28</v>
      </c>
      <c r="C19" s="186">
        <f>SUM(Pellekoorne!C18,Gutsche!C18,Lapp!C18,Martschenko!C18,Soboth!C18,Stephan!C18)</f>
        <v>1.8923611111111109</v>
      </c>
      <c r="D19" s="186">
        <f>SUM(Pellekoorne!D18,Gutsche!D18,Lapp!D18,Martschenko!D18,Soboth!D18,Stephan!D18)</f>
        <v>0.1701388888888889</v>
      </c>
      <c r="E19" s="186">
        <f>SUM(Pellekoorne!E18,Gutsche!E18,Lapp!E18,Martschenko!E18,Soboth!E18,Stephan!E18)</f>
        <v>0.2986111111111111</v>
      </c>
      <c r="F19" s="186">
        <f>SUM(Pellekoorne!F18,Gutsche!F18,Lapp!F18,Martschenko!F18,Soboth!F18,Stephan!F18)</f>
        <v>8.2638888888888887E-2</v>
      </c>
      <c r="G19" s="186">
        <f>SUM(Pellekoorne!G18,Gutsche!G18,Lapp!G18,Martschenko!G18,Soboth!G18,Stephan!G18)</f>
        <v>0.45138888888888884</v>
      </c>
      <c r="H19" s="186">
        <f>SUM(Pellekoorne!H18,Gutsche!H18,Lapp!H18,Martschenko!H18,Soboth!H18,Stephan!H18)</f>
        <v>1.1006944444444444</v>
      </c>
      <c r="I19" s="186">
        <f t="shared" ref="I19" si="6">SUM(C19:H20)</f>
        <v>3.9958333333333336</v>
      </c>
    </row>
    <row r="20" spans="2:9" x14ac:dyDescent="0.25">
      <c r="B20" s="189"/>
      <c r="C20" s="187"/>
      <c r="D20" s="187"/>
      <c r="E20" s="187"/>
      <c r="F20" s="187"/>
      <c r="G20" s="187"/>
      <c r="H20" s="187"/>
      <c r="I20" s="187"/>
    </row>
    <row r="21" spans="2:9" x14ac:dyDescent="0.25">
      <c r="B21" s="188" t="s">
        <v>29</v>
      </c>
      <c r="C21" s="186">
        <f>SUM(Pellekoorne!C20,Gutsche!C20,Lapp!C20,Martschenko!C20,Soboth!C20,Stephan!C20)</f>
        <v>1.90625</v>
      </c>
      <c r="D21" s="186">
        <f>SUM(Pellekoorne!D20,Gutsche!D20,Lapp!D20,Martschenko!D20,Soboth!D20,Stephan!D20)</f>
        <v>0.10694444444444444</v>
      </c>
      <c r="E21" s="186">
        <f>SUM(Pellekoorne!E20,Gutsche!E20,Lapp!E20,Martschenko!E20,Soboth!E20,Stephan!E20)</f>
        <v>0.15277777777777779</v>
      </c>
      <c r="F21" s="186">
        <f>SUM(Pellekoorne!F20,Gutsche!F20,Lapp!F20,Martschenko!F20,Soboth!F20,Stephan!F20)</f>
        <v>0</v>
      </c>
      <c r="G21" s="186">
        <f>SUM(Pellekoorne!G20,Gutsche!G20,Lapp!G20,Martschenko!G20,Soboth!G20,Stephan!G20)</f>
        <v>0.46736111111111112</v>
      </c>
      <c r="H21" s="186">
        <f>SUM(Pellekoorne!H20,Gutsche!H20,Lapp!H20,Martschenko!H20,Soboth!H20,Stephan!H20)</f>
        <v>0.52083333333333326</v>
      </c>
      <c r="I21" s="186">
        <f t="shared" ref="I21" si="7">SUM(C21:H22)</f>
        <v>3.1541666666666659</v>
      </c>
    </row>
    <row r="22" spans="2:9" x14ac:dyDescent="0.25">
      <c r="B22" s="189"/>
      <c r="C22" s="187"/>
      <c r="D22" s="187"/>
      <c r="E22" s="187"/>
      <c r="F22" s="187"/>
      <c r="G22" s="187"/>
      <c r="H22" s="187"/>
      <c r="I22" s="187"/>
    </row>
    <row r="23" spans="2:9" x14ac:dyDescent="0.25">
      <c r="B23" s="188" t="s">
        <v>30</v>
      </c>
      <c r="C23" s="186">
        <f>SUM(Pellekoorne!C22,Gutsche!C22,Lapp!C22,Martschenko!C22,Soboth!C22,Stephan!C22)</f>
        <v>2.4013888888888886</v>
      </c>
      <c r="D23" s="186">
        <f>SUM(Pellekoorne!D22,Gutsche!D22,Lapp!D22,Martschenko!D22,Soboth!D22,Stephan!D22)</f>
        <v>8.4722222222222227E-2</v>
      </c>
      <c r="E23" s="186">
        <f>SUM(Pellekoorne!E22,Gutsche!E22,Lapp!E22,Martschenko!E22,Soboth!E22,Stephan!E22)</f>
        <v>4.1666666666666664E-2</v>
      </c>
      <c r="F23" s="186">
        <f>SUM(Pellekoorne!F22,Gutsche!F22,Lapp!F22,Martschenko!F22,Soboth!F22,Stephan!F22)</f>
        <v>5.5555555555555552E-2</v>
      </c>
      <c r="G23" s="186">
        <f>SUM(Pellekoorne!G22,Gutsche!G22,Lapp!G22,Martschenko!G22,Soboth!G22,Stephan!G22)</f>
        <v>0.33680555555555558</v>
      </c>
      <c r="H23" s="186">
        <f>SUM(Pellekoorne!H22,Gutsche!H22,Lapp!H22,Martschenko!H22,Soboth!H22,Stephan!H22)</f>
        <v>0.49305555555555558</v>
      </c>
      <c r="I23" s="186">
        <f t="shared" ref="I23" si="8">SUM(C23:H24)</f>
        <v>3.4131944444444438</v>
      </c>
    </row>
    <row r="24" spans="2:9" x14ac:dyDescent="0.25">
      <c r="B24" s="189"/>
      <c r="C24" s="187"/>
      <c r="D24" s="187"/>
      <c r="E24" s="187"/>
      <c r="F24" s="187"/>
      <c r="G24" s="187"/>
      <c r="H24" s="187"/>
      <c r="I24" s="187"/>
    </row>
    <row r="25" spans="2:9" x14ac:dyDescent="0.25">
      <c r="B25" s="188" t="s">
        <v>31</v>
      </c>
      <c r="C25" s="186">
        <f>SUM(Pellekoorne!C24,Gutsche!C24,Lapp!C24,Martschenko!C24,Soboth!C24,Stephan!C24)</f>
        <v>2.1263888888888887</v>
      </c>
      <c r="D25" s="186">
        <f>SUM(Pellekoorne!D24,Gutsche!D24,Lapp!D24,Martschenko!D24,Soboth!D24,Stephan!D24)</f>
        <v>4.4444444444444439E-2</v>
      </c>
      <c r="E25" s="186">
        <f>SUM(Pellekoorne!E24,Gutsche!E24,Lapp!E24,Martschenko!E24,Soboth!E24,Stephan!E24)</f>
        <v>4.8611111111111112E-2</v>
      </c>
      <c r="F25" s="186">
        <f>SUM(Pellekoorne!F24,Gutsche!F24,Lapp!F24,Martschenko!F24,Soboth!F24,Stephan!F24)</f>
        <v>0.14583333333333331</v>
      </c>
      <c r="G25" s="186">
        <f>SUM(Pellekoorne!G24,Gutsche!G24,Lapp!G24,Martschenko!G24,Soboth!G24,Stephan!G24)</f>
        <v>0.3256944444444444</v>
      </c>
      <c r="H25" s="186">
        <f>SUM(Pellekoorne!H24,Gutsche!H24,Lapp!H24,Martschenko!H24,Soboth!H24,Stephan!H24)</f>
        <v>0.59722222222222221</v>
      </c>
      <c r="I25" s="186">
        <f t="shared" ref="I25" si="9">SUM(C25:H26)</f>
        <v>3.2881944444444442</v>
      </c>
    </row>
    <row r="26" spans="2:9" x14ac:dyDescent="0.25">
      <c r="B26" s="189"/>
      <c r="C26" s="187"/>
      <c r="D26" s="187"/>
      <c r="E26" s="187"/>
      <c r="F26" s="187"/>
      <c r="G26" s="187"/>
      <c r="H26" s="187"/>
      <c r="I26" s="187"/>
    </row>
    <row r="27" spans="2:9" x14ac:dyDescent="0.25">
      <c r="B27" s="188" t="s">
        <v>32</v>
      </c>
      <c r="C27" s="186">
        <f>SUM(Pellekoorne!C26,Gutsche!C26,Lapp!C26,Martschenko!C26,Soboth!C26,Stephan!C26)</f>
        <v>1.8194444444444446</v>
      </c>
      <c r="D27" s="186">
        <f>SUM(Pellekoorne!D26,Gutsche!D26,Lapp!D26,Martschenko!D26,Soboth!D26,Stephan!D26)</f>
        <v>0.10138888888888889</v>
      </c>
      <c r="E27" s="186">
        <f>SUM(Pellekoorne!E26,Gutsche!E26,Lapp!E26,Martschenko!E26,Soboth!E26,Stephan!E26)</f>
        <v>0</v>
      </c>
      <c r="F27" s="186">
        <f>SUM(Pellekoorne!F26,Gutsche!F26,Lapp!F26,Martschenko!F26,Soboth!F26,Stephan!F26)</f>
        <v>0</v>
      </c>
      <c r="G27" s="186">
        <f>SUM(Pellekoorne!G26,Gutsche!G26,Lapp!G26,Martschenko!G26,Soboth!G26,Stephan!G26)</f>
        <v>0.51388888888888884</v>
      </c>
      <c r="H27" s="186">
        <f>SUM(Pellekoorne!H26,Gutsche!H26,Lapp!H26,Martschenko!H26,Soboth!H26,Stephan!H26)</f>
        <v>0.38194444444444448</v>
      </c>
      <c r="I27" s="186">
        <f t="shared" ref="I27" si="10">SUM(C27:H28)</f>
        <v>2.8166666666666673</v>
      </c>
    </row>
    <row r="28" spans="2:9" x14ac:dyDescent="0.25">
      <c r="B28" s="189"/>
      <c r="C28" s="187"/>
      <c r="D28" s="187"/>
      <c r="E28" s="187"/>
      <c r="F28" s="187"/>
      <c r="G28" s="187"/>
      <c r="H28" s="187"/>
      <c r="I28" s="187"/>
    </row>
    <row r="29" spans="2:9" x14ac:dyDescent="0.25">
      <c r="B29" s="188" t="s">
        <v>33</v>
      </c>
      <c r="C29" s="186">
        <f>SUM(Pellekoorne!C28,Gutsche!C28,Lapp!C28,Martschenko!C28,Soboth!C28,Stephan!C28)</f>
        <v>1.8944444444444444</v>
      </c>
      <c r="D29" s="186">
        <f>SUM(Pellekoorne!D28,Gutsche!D28,Lapp!D28,Martschenko!D28,Soboth!D28,Stephan!D28)</f>
        <v>3.9583333333333338E-2</v>
      </c>
      <c r="E29" s="186">
        <f>SUM(Pellekoorne!E28,Gutsche!E28,Lapp!E28,Martschenko!E28,Soboth!E28,Stephan!E28)</f>
        <v>0</v>
      </c>
      <c r="F29" s="186">
        <f>SUM(Pellekoorne!F28,Gutsche!F28,Lapp!F28,Martschenko!F28,Soboth!F28,Stephan!F28)</f>
        <v>0</v>
      </c>
      <c r="G29" s="186">
        <f>SUM(Pellekoorne!G28,Gutsche!G28,Lapp!G28,Martschenko!G28,Soboth!G28,Stephan!G28)</f>
        <v>0.3979166666666667</v>
      </c>
      <c r="H29" s="186">
        <f>SUM(Pellekoorne!H28,Gutsche!H28,Lapp!H28,Martschenko!H28,Soboth!H28,Stephan!H28)</f>
        <v>0.28125</v>
      </c>
      <c r="I29" s="186">
        <f t="shared" ref="I29" si="11">SUM(C29:H30)</f>
        <v>2.6131944444444444</v>
      </c>
    </row>
    <row r="30" spans="2:9" x14ac:dyDescent="0.25">
      <c r="B30" s="189"/>
      <c r="C30" s="187"/>
      <c r="D30" s="187"/>
      <c r="E30" s="187"/>
      <c r="F30" s="187"/>
      <c r="G30" s="187"/>
      <c r="H30" s="187"/>
      <c r="I30" s="187"/>
    </row>
    <row r="31" spans="2:9" x14ac:dyDescent="0.25">
      <c r="B31" s="188" t="s">
        <v>34</v>
      </c>
      <c r="C31" s="186">
        <f>SUM(Pellekoorne!C30,Gutsche!C30,Lapp!C30,Martschenko!C30,Soboth!C30,Stephan!C30)</f>
        <v>1.4715277777777778</v>
      </c>
      <c r="D31" s="186">
        <f>SUM(Pellekoorne!D30,Gutsche!D30,Lapp!D30,Martschenko!D30,Soboth!D30,Stephan!D30)</f>
        <v>0.05</v>
      </c>
      <c r="E31" s="186">
        <f>SUM(Pellekoorne!E30,Gutsche!E30,Lapp!E30,Martschenko!E30,Soboth!E30,Stephan!E30)</f>
        <v>0</v>
      </c>
      <c r="F31" s="186">
        <f>SUM(Pellekoorne!F30,Gutsche!F30,Lapp!F30,Martschenko!F30,Soboth!F30,Stephan!F30)</f>
        <v>0</v>
      </c>
      <c r="G31" s="186">
        <f>SUM(Pellekoorne!G30,Gutsche!G30,Lapp!G30,Martschenko!G30,Soboth!G30,Stephan!G30)</f>
        <v>0.3576388888888889</v>
      </c>
      <c r="H31" s="186">
        <f>SUM(Pellekoorne!H30,Gutsche!H30,Lapp!H30,Martschenko!H30,Soboth!H30,Stephan!H30)</f>
        <v>0.27777777777777779</v>
      </c>
      <c r="I31" s="186">
        <f t="shared" ref="I31" si="12">SUM(C31:H32)</f>
        <v>2.1569444444444446</v>
      </c>
    </row>
    <row r="32" spans="2:9" x14ac:dyDescent="0.25">
      <c r="B32" s="189"/>
      <c r="C32" s="187"/>
      <c r="D32" s="187"/>
      <c r="E32" s="187"/>
      <c r="F32" s="187"/>
      <c r="G32" s="187"/>
      <c r="H32" s="187"/>
      <c r="I32" s="187"/>
    </row>
    <row r="33" spans="2:9" x14ac:dyDescent="0.25">
      <c r="B33" s="188" t="s">
        <v>392</v>
      </c>
      <c r="C33" s="186">
        <f>SUM(Pellekoorne!C32,Gutsche!C32,Lapp!C32,Martschenko!C32,Stephan!C32)</f>
        <v>1.4368055555555557</v>
      </c>
      <c r="D33" s="186">
        <f>SUM(Pellekoorne!D32,Gutsche!D32,Lapp!D32,Martschenko!D32,Soboth!D32,Stephan!D32)</f>
        <v>7.2916666666666671E-2</v>
      </c>
      <c r="E33" s="186">
        <f>SUM(Pellekoorne!E32,Gutsche!E32,Lapp!E32,Martschenko!E32,Soboth!E32,Stephan!E32)</f>
        <v>0</v>
      </c>
      <c r="F33" s="186">
        <f>SUM(Pellekoorne!F32,Gutsche!F32,Lapp!F32,Martschenko!F32,Soboth!F32,Stephan!F32)</f>
        <v>0</v>
      </c>
      <c r="G33" s="186">
        <f>SUM(Pellekoorne!G32,Gutsche!G32,Lapp!G32,Martschenko!G32,Soboth!G32,Stephan!G32)</f>
        <v>1.273611111111111</v>
      </c>
      <c r="H33" s="186">
        <f>SUM(Pellekoorne!H32,Gutsche!H32,Lapp!H32,Martschenko!H32,Soboth!H32,Stephan!H32)</f>
        <v>0.34027777777777779</v>
      </c>
      <c r="I33" s="186">
        <f t="shared" ref="I33" si="13">SUM(C33:H34)</f>
        <v>3.1236111111111109</v>
      </c>
    </row>
    <row r="34" spans="2:9" x14ac:dyDescent="0.25">
      <c r="B34" s="189"/>
      <c r="C34" s="187"/>
      <c r="D34" s="187"/>
      <c r="E34" s="187"/>
      <c r="F34" s="187"/>
      <c r="G34" s="187"/>
      <c r="H34" s="187"/>
      <c r="I34" s="187"/>
    </row>
    <row r="35" spans="2:9" x14ac:dyDescent="0.25">
      <c r="B35" s="188" t="s">
        <v>393</v>
      </c>
      <c r="C35" s="186">
        <f>SUM(Pellekoorne!C34,Gutsche!C34,Lapp!C34,Martschenko!C34,Soboth!C34,Stephan!C34)</f>
        <v>0</v>
      </c>
      <c r="D35" s="186">
        <f>SUM(Pellekoorne!D34,Gutsche!D34,Lapp!D34,Martschenko!D34,Soboth!D34,Stephan!D34)</f>
        <v>0</v>
      </c>
      <c r="E35" s="186">
        <f>SUM(Pellekoorne!E34,Gutsche!E34,Lapp!E34,Martschenko!E34,Soboth!E34,Stephan!E34)</f>
        <v>0</v>
      </c>
      <c r="F35" s="186">
        <f>SUM(Pellekoorne!F34,Gutsche!F34,Lapp!F34,Martschenko!F34,Soboth!F34,Stephan!F34)</f>
        <v>0</v>
      </c>
      <c r="G35" s="186">
        <f>SUM(Pellekoorne!G34,Gutsche!G34,Lapp!G34,Martschenko!G34,Soboth!G34,Stephan!G34)</f>
        <v>0</v>
      </c>
      <c r="H35" s="186">
        <f>SUM(Pellekoorne!H34,Gutsche!H34,Lapp!H34,Martschenko!H34,Soboth!H34,Stephan!H34)</f>
        <v>0.81944444444444442</v>
      </c>
      <c r="I35" s="186">
        <f t="shared" ref="I35" si="14">SUM(C35:H36)</f>
        <v>0.81944444444444442</v>
      </c>
    </row>
    <row r="36" spans="2:9" x14ac:dyDescent="0.25">
      <c r="B36" s="189"/>
      <c r="C36" s="187"/>
      <c r="D36" s="187"/>
      <c r="E36" s="187"/>
      <c r="F36" s="187"/>
      <c r="G36" s="187"/>
      <c r="H36" s="187"/>
      <c r="I36" s="187"/>
    </row>
    <row r="37" spans="2:9" x14ac:dyDescent="0.25">
      <c r="B37" s="188" t="s">
        <v>394</v>
      </c>
      <c r="C37" s="186">
        <f>SUM(Pellekoorne!C36,Gutsche!C36,Lapp!C36,Martschenko!C36,Soboth!C36,Stephan!C36)</f>
        <v>0</v>
      </c>
      <c r="D37" s="186">
        <f>SUM(Pellekoorne!D36,Gutsche!D36,Lapp!D36,Martschenko!D36,Soboth!D36,Stephan!D36)</f>
        <v>0</v>
      </c>
      <c r="E37" s="186">
        <f>SUM(Pellekoorne!E36,Gutsche!E36,Lapp!E36,Martschenko!E36,Soboth!E36,Stephan!E36)</f>
        <v>0</v>
      </c>
      <c r="F37" s="186">
        <f>SUM(Pellekoorne!F36,Gutsche!F36,Lapp!F36,Martschenko!F36,Soboth!F36,Stephan!F36)</f>
        <v>0</v>
      </c>
      <c r="G37" s="186">
        <f>SUM(Pellekoorne!G36,Gutsche!G36,Lapp!G36,Martschenko!G36,Soboth!G36,Stephan!G36)</f>
        <v>0</v>
      </c>
      <c r="H37" s="186">
        <f>SUM(Pellekoorne!H36,Gutsche!H36,Lapp!H36,Martschenko!H36,Soboth!H36,Stephan!H36)</f>
        <v>0</v>
      </c>
      <c r="I37" s="186">
        <f t="shared" ref="I37" si="15">SUM(C37:H38)</f>
        <v>0</v>
      </c>
    </row>
    <row r="38" spans="2:9" x14ac:dyDescent="0.25">
      <c r="B38" s="189"/>
      <c r="C38" s="187"/>
      <c r="D38" s="187"/>
      <c r="E38" s="187"/>
      <c r="F38" s="187"/>
      <c r="G38" s="187"/>
      <c r="H38" s="187"/>
      <c r="I38" s="187"/>
    </row>
  </sheetData>
  <mergeCells count="145">
    <mergeCell ref="B37:B38"/>
    <mergeCell ref="C37:C38"/>
    <mergeCell ref="D37:D38"/>
    <mergeCell ref="E37:E38"/>
    <mergeCell ref="F37:F38"/>
    <mergeCell ref="G37:G38"/>
    <mergeCell ref="H37:H38"/>
    <mergeCell ref="I37:I38"/>
    <mergeCell ref="B33:B34"/>
    <mergeCell ref="C33:C34"/>
    <mergeCell ref="D33:D34"/>
    <mergeCell ref="E33:E34"/>
    <mergeCell ref="F33:F34"/>
    <mergeCell ref="G33:G34"/>
    <mergeCell ref="H33:H34"/>
    <mergeCell ref="I33:I34"/>
    <mergeCell ref="B35:B36"/>
    <mergeCell ref="C35:C36"/>
    <mergeCell ref="D35:D36"/>
    <mergeCell ref="E35:E36"/>
    <mergeCell ref="F35:F36"/>
    <mergeCell ref="G35:G36"/>
    <mergeCell ref="H35:H36"/>
    <mergeCell ref="I35:I36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</mergeCells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AL50"/>
  <sheetViews>
    <sheetView workbookViewId="0">
      <selection activeCell="D32" sqref="D32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38" ht="15.75" thickBot="1" x14ac:dyDescent="0.3"/>
    <row r="5" spans="2:38" x14ac:dyDescent="0.25">
      <c r="B5" s="89" t="s">
        <v>392</v>
      </c>
      <c r="C5" s="90"/>
      <c r="D5" s="91"/>
      <c r="E5" s="89" t="s">
        <v>34</v>
      </c>
      <c r="F5" s="90"/>
      <c r="G5" s="91"/>
      <c r="H5" s="89" t="s">
        <v>33</v>
      </c>
      <c r="I5" s="90"/>
      <c r="J5" s="91"/>
      <c r="K5" s="89" t="s">
        <v>32</v>
      </c>
      <c r="L5" s="90"/>
      <c r="M5" s="91"/>
      <c r="N5" s="89" t="s">
        <v>31</v>
      </c>
      <c r="O5" s="90"/>
      <c r="P5" s="91"/>
      <c r="Q5" s="89" t="s">
        <v>30</v>
      </c>
      <c r="R5" s="90"/>
      <c r="S5" s="91"/>
      <c r="T5" s="89" t="s">
        <v>29</v>
      </c>
      <c r="U5" s="90"/>
      <c r="V5" s="91"/>
      <c r="W5" s="89" t="s">
        <v>28</v>
      </c>
      <c r="X5" s="90"/>
      <c r="Y5" s="91"/>
      <c r="Z5" s="89" t="s">
        <v>6</v>
      </c>
      <c r="AA5" s="90"/>
      <c r="AB5" s="91"/>
      <c r="AC5" s="89" t="s">
        <v>5</v>
      </c>
      <c r="AD5" s="90"/>
      <c r="AE5" s="91"/>
      <c r="AF5" s="89" t="s">
        <v>4</v>
      </c>
      <c r="AG5" s="90"/>
      <c r="AH5" s="91"/>
      <c r="AI5" s="89" t="s">
        <v>3</v>
      </c>
      <c r="AJ5" s="90"/>
      <c r="AK5" s="91"/>
      <c r="AL5" s="89" t="s">
        <v>2</v>
      </c>
    </row>
    <row r="6" spans="2:38" x14ac:dyDescent="0.25">
      <c r="B6" s="67" t="s">
        <v>59</v>
      </c>
      <c r="C6" s="48" t="s">
        <v>60</v>
      </c>
      <c r="D6" s="92" t="s">
        <v>85</v>
      </c>
      <c r="E6" s="67" t="s">
        <v>59</v>
      </c>
      <c r="F6" s="48" t="s">
        <v>60</v>
      </c>
      <c r="G6" s="92" t="s">
        <v>85</v>
      </c>
      <c r="H6" s="67" t="s">
        <v>59</v>
      </c>
      <c r="I6" s="48" t="s">
        <v>60</v>
      </c>
      <c r="J6" s="92" t="s">
        <v>85</v>
      </c>
      <c r="K6" s="67" t="s">
        <v>59</v>
      </c>
      <c r="L6" s="48" t="s">
        <v>60</v>
      </c>
      <c r="M6" s="92" t="s">
        <v>85</v>
      </c>
      <c r="N6" s="67" t="s">
        <v>59</v>
      </c>
      <c r="O6" s="48" t="s">
        <v>60</v>
      </c>
      <c r="P6" s="92" t="s">
        <v>85</v>
      </c>
      <c r="Q6" s="67" t="s">
        <v>59</v>
      </c>
      <c r="R6" s="48" t="s">
        <v>60</v>
      </c>
      <c r="S6" s="92" t="s">
        <v>85</v>
      </c>
      <c r="T6" s="67" t="s">
        <v>59</v>
      </c>
      <c r="U6" s="48" t="s">
        <v>60</v>
      </c>
      <c r="V6" s="92" t="s">
        <v>85</v>
      </c>
      <c r="W6" s="67" t="s">
        <v>59</v>
      </c>
      <c r="X6" s="48" t="s">
        <v>60</v>
      </c>
      <c r="Y6" s="92" t="s">
        <v>85</v>
      </c>
      <c r="Z6" s="67" t="s">
        <v>59</v>
      </c>
      <c r="AA6" s="48" t="s">
        <v>60</v>
      </c>
      <c r="AB6" s="92" t="s">
        <v>85</v>
      </c>
      <c r="AC6" s="67" t="s">
        <v>59</v>
      </c>
      <c r="AD6" s="48" t="s">
        <v>60</v>
      </c>
      <c r="AE6" s="92" t="s">
        <v>85</v>
      </c>
      <c r="AF6" s="67" t="s">
        <v>59</v>
      </c>
      <c r="AG6" s="48" t="s">
        <v>60</v>
      </c>
      <c r="AH6" s="92" t="s">
        <v>85</v>
      </c>
      <c r="AI6" s="67" t="s">
        <v>59</v>
      </c>
      <c r="AJ6" s="48" t="s">
        <v>60</v>
      </c>
      <c r="AK6" s="92" t="s">
        <v>85</v>
      </c>
      <c r="AL6" s="67" t="s">
        <v>59</v>
      </c>
    </row>
    <row r="7" spans="2:38" x14ac:dyDescent="0.25">
      <c r="B7" t="s">
        <v>486</v>
      </c>
      <c r="C7" s="81">
        <v>0.1875</v>
      </c>
      <c r="D7" t="s">
        <v>101</v>
      </c>
      <c r="E7" t="s">
        <v>358</v>
      </c>
      <c r="F7" s="81">
        <v>2.0833333333333332E-2</v>
      </c>
      <c r="G7" t="s">
        <v>86</v>
      </c>
      <c r="H7" t="s">
        <v>358</v>
      </c>
      <c r="I7" s="81">
        <v>0.11805555555555557</v>
      </c>
      <c r="J7" t="s">
        <v>103</v>
      </c>
      <c r="K7" t="s">
        <v>387</v>
      </c>
      <c r="L7" s="81">
        <v>0.14583333333333334</v>
      </c>
      <c r="M7" t="s">
        <v>98</v>
      </c>
      <c r="N7" t="s">
        <v>387</v>
      </c>
      <c r="O7" s="81">
        <v>1.0416666666666666E-2</v>
      </c>
      <c r="P7" t="s">
        <v>100</v>
      </c>
      <c r="Q7" t="s">
        <v>399</v>
      </c>
      <c r="R7" s="81">
        <v>8.3333333333333329E-2</v>
      </c>
      <c r="S7" t="s">
        <v>101</v>
      </c>
      <c r="T7" t="s">
        <v>355</v>
      </c>
      <c r="U7" s="81">
        <v>2.7777777777777776E-2</v>
      </c>
      <c r="V7" t="s">
        <v>86</v>
      </c>
      <c r="W7" t="s">
        <v>311</v>
      </c>
      <c r="X7" s="81">
        <v>3.4722222222222224E-2</v>
      </c>
      <c r="Y7" t="s">
        <v>86</v>
      </c>
      <c r="Z7" t="s">
        <v>283</v>
      </c>
      <c r="AA7" s="81">
        <v>1.1805555555555555E-2</v>
      </c>
      <c r="AB7" t="s">
        <v>103</v>
      </c>
      <c r="AC7" t="s">
        <v>259</v>
      </c>
      <c r="AD7" s="81">
        <v>2.0833333333333332E-2</v>
      </c>
      <c r="AE7" t="s">
        <v>86</v>
      </c>
      <c r="AF7" t="s">
        <v>235</v>
      </c>
      <c r="AG7" s="81">
        <v>8.4027777777777771E-2</v>
      </c>
      <c r="AH7" t="s">
        <v>98</v>
      </c>
      <c r="AI7" s="88" t="s">
        <v>198</v>
      </c>
      <c r="AJ7" s="85">
        <v>0.13194444444444445</v>
      </c>
      <c r="AK7" s="2" t="s">
        <v>86</v>
      </c>
      <c r="AL7" s="88" t="s">
        <v>139</v>
      </c>
    </row>
    <row r="8" spans="2:38" x14ac:dyDescent="0.25">
      <c r="B8" t="s">
        <v>473</v>
      </c>
      <c r="C8" s="81">
        <v>4.8611111111111112E-2</v>
      </c>
      <c r="D8" t="s">
        <v>86</v>
      </c>
      <c r="E8" t="s">
        <v>358</v>
      </c>
      <c r="F8" s="81">
        <v>0.18055555555555555</v>
      </c>
      <c r="G8" t="s">
        <v>98</v>
      </c>
      <c r="H8" t="s">
        <v>358</v>
      </c>
      <c r="I8" s="81">
        <v>7.8472222222222221E-2</v>
      </c>
      <c r="J8" t="s">
        <v>98</v>
      </c>
      <c r="K8" t="s">
        <v>387</v>
      </c>
      <c r="L8" s="81">
        <v>1.7361111111111112E-2</v>
      </c>
      <c r="M8" t="s">
        <v>103</v>
      </c>
      <c r="N8" t="s">
        <v>358</v>
      </c>
      <c r="O8" s="81">
        <v>0.10416666666666667</v>
      </c>
      <c r="P8" t="s">
        <v>86</v>
      </c>
      <c r="Q8" t="s">
        <v>400</v>
      </c>
      <c r="R8" s="81">
        <v>9.375E-2</v>
      </c>
      <c r="S8" t="s">
        <v>101</v>
      </c>
      <c r="T8" t="s">
        <v>356</v>
      </c>
      <c r="U8" s="81">
        <v>2.0833333333333332E-2</v>
      </c>
      <c r="V8" t="s">
        <v>86</v>
      </c>
      <c r="W8" t="s">
        <v>319</v>
      </c>
      <c r="X8" s="81">
        <v>0.21180555555555555</v>
      </c>
      <c r="Y8" t="s">
        <v>86</v>
      </c>
      <c r="Z8" t="s">
        <v>283</v>
      </c>
      <c r="AA8" s="81">
        <v>8.819444444444445E-2</v>
      </c>
      <c r="AB8" t="s">
        <v>98</v>
      </c>
      <c r="AC8" t="s">
        <v>258</v>
      </c>
      <c r="AD8" s="81">
        <v>8.3333333333333329E-2</v>
      </c>
      <c r="AE8" t="s">
        <v>103</v>
      </c>
      <c r="AF8" t="s">
        <v>92</v>
      </c>
      <c r="AG8" s="81">
        <v>4.1666666666666664E-2</v>
      </c>
      <c r="AH8" t="s">
        <v>86</v>
      </c>
      <c r="AI8" s="88" t="s">
        <v>199</v>
      </c>
      <c r="AJ8" s="85">
        <v>9.0277777777777776E-2</v>
      </c>
      <c r="AK8" s="2" t="s">
        <v>86</v>
      </c>
      <c r="AL8" s="93" t="s">
        <v>140</v>
      </c>
    </row>
    <row r="9" spans="2:38" x14ac:dyDescent="0.25">
      <c r="B9" t="s">
        <v>473</v>
      </c>
      <c r="C9" s="81">
        <v>1.0416666666666666E-2</v>
      </c>
      <c r="D9" t="s">
        <v>103</v>
      </c>
      <c r="E9" t="s">
        <v>358</v>
      </c>
      <c r="F9" s="81">
        <v>0.10416666666666667</v>
      </c>
      <c r="G9" t="s">
        <v>100</v>
      </c>
      <c r="H9" t="s">
        <v>358</v>
      </c>
      <c r="I9" s="81">
        <v>2.7777777777777776E-2</v>
      </c>
      <c r="J9" t="s">
        <v>86</v>
      </c>
      <c r="K9" t="s">
        <v>444</v>
      </c>
      <c r="L9" s="81">
        <v>4.1666666666666664E-2</v>
      </c>
      <c r="M9" t="s">
        <v>86</v>
      </c>
      <c r="N9" t="s">
        <v>422</v>
      </c>
      <c r="O9" s="81">
        <v>0.16041666666666668</v>
      </c>
      <c r="P9" t="s">
        <v>98</v>
      </c>
      <c r="Q9" t="s">
        <v>401</v>
      </c>
      <c r="R9" s="81">
        <v>8.3333333333333329E-2</v>
      </c>
      <c r="S9" t="s">
        <v>101</v>
      </c>
      <c r="T9" t="s">
        <v>357</v>
      </c>
      <c r="U9" s="81">
        <v>2.0833333333333332E-2</v>
      </c>
      <c r="V9" t="s">
        <v>86</v>
      </c>
      <c r="W9" t="s">
        <v>321</v>
      </c>
      <c r="X9" s="81">
        <v>5.5555555555555552E-2</v>
      </c>
      <c r="Y9" t="s">
        <v>98</v>
      </c>
      <c r="Z9" t="s">
        <v>291</v>
      </c>
      <c r="AA9" s="81">
        <v>4.5138888888888888E-2</v>
      </c>
      <c r="AB9" t="s">
        <v>103</v>
      </c>
      <c r="AC9" t="s">
        <v>271</v>
      </c>
      <c r="AD9" s="81">
        <v>0.17986111111111111</v>
      </c>
      <c r="AE9" t="s">
        <v>103</v>
      </c>
      <c r="AF9" t="s">
        <v>236</v>
      </c>
      <c r="AG9" s="81">
        <v>2.7777777777777776E-2</v>
      </c>
      <c r="AH9" t="s">
        <v>100</v>
      </c>
      <c r="AI9" s="88" t="s">
        <v>200</v>
      </c>
      <c r="AJ9" s="85">
        <v>0.17361111111111113</v>
      </c>
      <c r="AK9" s="2" t="s">
        <v>86</v>
      </c>
      <c r="AL9" s="94" t="s">
        <v>141</v>
      </c>
    </row>
    <row r="10" spans="2:38" x14ac:dyDescent="0.25">
      <c r="B10" t="s">
        <v>500</v>
      </c>
      <c r="C10" s="81">
        <v>7.9861111111111105E-2</v>
      </c>
      <c r="D10" t="s">
        <v>98</v>
      </c>
      <c r="E10" t="s">
        <v>486</v>
      </c>
      <c r="F10" s="81">
        <v>5.2083333333333336E-2</v>
      </c>
      <c r="G10" s="81" t="s">
        <v>103</v>
      </c>
      <c r="H10" t="s">
        <v>464</v>
      </c>
      <c r="I10" s="81">
        <v>7.2916666666666671E-2</v>
      </c>
      <c r="J10" t="s">
        <v>100</v>
      </c>
      <c r="K10" t="s">
        <v>445</v>
      </c>
      <c r="L10" s="81">
        <v>0.15277777777777776</v>
      </c>
      <c r="M10" t="s">
        <v>86</v>
      </c>
      <c r="N10" t="s">
        <v>422</v>
      </c>
      <c r="O10" s="81">
        <v>8.3333333333333329E-2</v>
      </c>
      <c r="P10" t="s">
        <v>100</v>
      </c>
      <c r="Q10" t="s">
        <v>402</v>
      </c>
      <c r="R10" s="81">
        <v>4.1666666666666664E-2</v>
      </c>
      <c r="S10" t="s">
        <v>101</v>
      </c>
      <c r="T10" t="s">
        <v>359</v>
      </c>
      <c r="U10" s="81">
        <v>6.9444444444444434E-2</v>
      </c>
      <c r="V10" t="s">
        <v>100</v>
      </c>
      <c r="W10" t="s">
        <v>329</v>
      </c>
      <c r="X10" s="81">
        <v>5.2083333333333336E-2</v>
      </c>
      <c r="Y10" t="s">
        <v>100</v>
      </c>
      <c r="Z10" t="s">
        <v>292</v>
      </c>
      <c r="AA10" s="81">
        <v>0.16666666666666666</v>
      </c>
      <c r="AB10" t="s">
        <v>103</v>
      </c>
      <c r="AC10" t="s">
        <v>271</v>
      </c>
      <c r="AD10" s="81">
        <v>5.2083333333333336E-2</v>
      </c>
      <c r="AE10" t="s">
        <v>98</v>
      </c>
      <c r="AF10" t="s">
        <v>237</v>
      </c>
      <c r="AG10" s="81">
        <v>0.10416666666666667</v>
      </c>
      <c r="AH10" t="s">
        <v>100</v>
      </c>
      <c r="AI10" s="88" t="s">
        <v>201</v>
      </c>
      <c r="AJ10" s="85">
        <v>2.0833333333333332E-2</v>
      </c>
      <c r="AK10" s="2" t="s">
        <v>86</v>
      </c>
      <c r="AL10" s="93" t="s">
        <v>142</v>
      </c>
    </row>
    <row r="11" spans="2:38" x14ac:dyDescent="0.25">
      <c r="B11" t="s">
        <v>501</v>
      </c>
      <c r="C11" s="81">
        <v>3.472222222222222E-3</v>
      </c>
      <c r="D11" t="s">
        <v>98</v>
      </c>
      <c r="E11" t="s">
        <v>472</v>
      </c>
      <c r="F11" s="81">
        <v>0.20208333333333331</v>
      </c>
      <c r="G11" t="s">
        <v>103</v>
      </c>
      <c r="H11" t="s">
        <v>449</v>
      </c>
      <c r="I11" s="81">
        <v>6.25E-2</v>
      </c>
      <c r="J11" t="s">
        <v>100</v>
      </c>
      <c r="K11" t="s">
        <v>446</v>
      </c>
      <c r="L11" s="81">
        <v>6.25E-2</v>
      </c>
      <c r="M11" t="s">
        <v>86</v>
      </c>
      <c r="N11" t="s">
        <v>423</v>
      </c>
      <c r="O11" s="81">
        <v>5.2083333333333336E-2</v>
      </c>
      <c r="P11" t="s">
        <v>101</v>
      </c>
      <c r="Q11" t="s">
        <v>403</v>
      </c>
      <c r="R11" s="81">
        <v>4.1666666666666664E-2</v>
      </c>
      <c r="S11" t="s">
        <v>101</v>
      </c>
      <c r="T11" t="s">
        <v>353</v>
      </c>
      <c r="U11" s="81">
        <v>0.11041666666666666</v>
      </c>
      <c r="V11" t="s">
        <v>103</v>
      </c>
      <c r="W11" t="s">
        <v>314</v>
      </c>
      <c r="X11" s="81">
        <v>9.1666666666666674E-2</v>
      </c>
      <c r="Y11" t="s">
        <v>103</v>
      </c>
      <c r="Z11" t="s">
        <v>290</v>
      </c>
      <c r="AA11" s="81">
        <v>6.6666666666666666E-2</v>
      </c>
      <c r="AB11" t="s">
        <v>98</v>
      </c>
      <c r="AC11" t="s">
        <v>272</v>
      </c>
      <c r="AD11" s="81">
        <v>8.3333333333333329E-2</v>
      </c>
      <c r="AE11" t="s">
        <v>100</v>
      </c>
      <c r="AF11" t="s">
        <v>239</v>
      </c>
      <c r="AG11" s="81">
        <v>0.10416666666666667</v>
      </c>
      <c r="AH11" t="s">
        <v>100</v>
      </c>
      <c r="AI11" s="88" t="s">
        <v>202</v>
      </c>
      <c r="AJ11" s="85">
        <v>6.25E-2</v>
      </c>
      <c r="AK11" s="2" t="s">
        <v>86</v>
      </c>
      <c r="AL11" s="93" t="s">
        <v>143</v>
      </c>
    </row>
    <row r="12" spans="2:38" x14ac:dyDescent="0.25">
      <c r="B12" t="s">
        <v>502</v>
      </c>
      <c r="C12" s="81">
        <v>4.1666666666666664E-2</v>
      </c>
      <c r="D12" t="s">
        <v>86</v>
      </c>
      <c r="E12" t="s">
        <v>473</v>
      </c>
      <c r="F12" s="81">
        <v>0.1388888888888889</v>
      </c>
      <c r="G12" t="s">
        <v>86</v>
      </c>
      <c r="H12" t="s">
        <v>465</v>
      </c>
      <c r="I12" s="81">
        <v>0.18055555555555555</v>
      </c>
      <c r="J12" t="s">
        <v>98</v>
      </c>
      <c r="K12" t="s">
        <v>398</v>
      </c>
      <c r="L12" s="81">
        <v>2.7777777777777776E-2</v>
      </c>
      <c r="M12" t="s">
        <v>86</v>
      </c>
      <c r="N12" t="s">
        <v>423</v>
      </c>
      <c r="O12" s="81">
        <v>5.2083333333333336E-2</v>
      </c>
      <c r="P12" t="s">
        <v>103</v>
      </c>
      <c r="Q12" t="s">
        <v>404</v>
      </c>
      <c r="R12" s="81">
        <v>6.25E-2</v>
      </c>
      <c r="S12" t="s">
        <v>101</v>
      </c>
      <c r="T12" t="s">
        <v>360</v>
      </c>
      <c r="U12" s="81">
        <v>0.13541666666666666</v>
      </c>
      <c r="V12" t="s">
        <v>100</v>
      </c>
      <c r="W12" t="s">
        <v>325</v>
      </c>
      <c r="X12" s="81">
        <v>8.2638888888888887E-2</v>
      </c>
      <c r="Y12" t="s">
        <v>98</v>
      </c>
      <c r="Z12" t="s">
        <v>284</v>
      </c>
      <c r="AA12" s="81">
        <v>0.1875</v>
      </c>
      <c r="AB12" t="s">
        <v>100</v>
      </c>
      <c r="AC12" t="s">
        <v>273</v>
      </c>
      <c r="AD12" s="81">
        <v>4.1666666666666664E-2</v>
      </c>
      <c r="AE12" t="s">
        <v>100</v>
      </c>
      <c r="AF12" t="s">
        <v>240</v>
      </c>
      <c r="AG12" s="81">
        <v>2.7777777777777776E-2</v>
      </c>
      <c r="AH12" t="s">
        <v>100</v>
      </c>
      <c r="AI12" s="88" t="s">
        <v>203</v>
      </c>
      <c r="AJ12" s="85">
        <v>2.7777777777777776E-2</v>
      </c>
      <c r="AK12" s="2" t="s">
        <v>86</v>
      </c>
      <c r="AL12" s="93" t="s">
        <v>144</v>
      </c>
    </row>
    <row r="13" spans="2:38" x14ac:dyDescent="0.25">
      <c r="B13" t="s">
        <v>502</v>
      </c>
      <c r="C13" s="81">
        <v>4.1666666666666664E-2</v>
      </c>
      <c r="D13" t="s">
        <v>103</v>
      </c>
      <c r="E13" t="s">
        <v>487</v>
      </c>
      <c r="F13" s="81">
        <v>1.7361111111111112E-2</v>
      </c>
      <c r="G13" t="s">
        <v>103</v>
      </c>
      <c r="H13" t="s">
        <v>466</v>
      </c>
      <c r="I13" s="81">
        <v>0.16666666666666666</v>
      </c>
      <c r="J13" t="s">
        <v>101</v>
      </c>
      <c r="K13" t="s">
        <v>447</v>
      </c>
      <c r="L13" s="81">
        <v>6.25E-2</v>
      </c>
      <c r="M13" t="s">
        <v>101</v>
      </c>
      <c r="N13" t="s">
        <v>423</v>
      </c>
      <c r="O13" s="81">
        <v>5.2083333333333336E-2</v>
      </c>
      <c r="P13" t="s">
        <v>86</v>
      </c>
      <c r="Q13" t="s">
        <v>405</v>
      </c>
      <c r="R13" s="81">
        <v>0.14583333333333334</v>
      </c>
      <c r="S13" t="s">
        <v>101</v>
      </c>
      <c r="T13" t="s">
        <v>361</v>
      </c>
      <c r="U13" s="81">
        <v>6.25E-2</v>
      </c>
      <c r="V13" t="s">
        <v>100</v>
      </c>
      <c r="W13" t="s">
        <v>326</v>
      </c>
      <c r="X13" s="81">
        <v>4.5138888888888888E-2</v>
      </c>
      <c r="Y13" t="s">
        <v>103</v>
      </c>
      <c r="Z13" t="s">
        <v>293</v>
      </c>
      <c r="AA13" s="81">
        <v>2.4305555555555556E-2</v>
      </c>
      <c r="AB13" t="s">
        <v>103</v>
      </c>
      <c r="AC13" t="s">
        <v>274</v>
      </c>
      <c r="AD13" s="81">
        <v>4.1666666666666664E-2</v>
      </c>
      <c r="AE13" t="s">
        <v>100</v>
      </c>
      <c r="AF13" t="s">
        <v>241</v>
      </c>
      <c r="AG13" s="81">
        <v>0.10416666666666667</v>
      </c>
      <c r="AH13" t="s">
        <v>100</v>
      </c>
      <c r="AI13" s="88" t="s">
        <v>92</v>
      </c>
      <c r="AJ13" s="85">
        <v>0.10416666666666667</v>
      </c>
      <c r="AK13" s="2" t="s">
        <v>86</v>
      </c>
      <c r="AL13" s="93" t="s">
        <v>145</v>
      </c>
    </row>
    <row r="14" spans="2:38" x14ac:dyDescent="0.25">
      <c r="B14" t="s">
        <v>503</v>
      </c>
      <c r="C14" s="81">
        <v>0.125</v>
      </c>
      <c r="D14" t="s">
        <v>101</v>
      </c>
      <c r="E14" t="s">
        <v>497</v>
      </c>
      <c r="F14" s="81">
        <v>1.7361111111111112E-2</v>
      </c>
      <c r="G14" t="s">
        <v>98</v>
      </c>
      <c r="H14" t="s">
        <v>467</v>
      </c>
      <c r="I14" s="81">
        <v>0.125</v>
      </c>
      <c r="J14" t="s">
        <v>101</v>
      </c>
      <c r="K14" t="s">
        <v>448</v>
      </c>
      <c r="L14" s="81">
        <v>4.1666666666666664E-2</v>
      </c>
      <c r="M14" t="s">
        <v>100</v>
      </c>
      <c r="N14" t="s">
        <v>424</v>
      </c>
      <c r="O14" s="81">
        <v>0.16666666666666666</v>
      </c>
      <c r="P14" t="s">
        <v>101</v>
      </c>
      <c r="Q14" t="s">
        <v>406</v>
      </c>
      <c r="R14" s="81">
        <v>0.10416666666666667</v>
      </c>
      <c r="S14" t="s">
        <v>101</v>
      </c>
      <c r="T14" t="s">
        <v>362</v>
      </c>
      <c r="U14" s="81">
        <v>1.3888888888888888E-2</v>
      </c>
      <c r="V14" t="s">
        <v>103</v>
      </c>
      <c r="W14" t="s">
        <v>327</v>
      </c>
      <c r="X14" s="81">
        <v>0.10416666666666667</v>
      </c>
      <c r="Y14" t="s">
        <v>100</v>
      </c>
      <c r="Z14" t="s">
        <v>293</v>
      </c>
      <c r="AA14" s="81">
        <v>2.4305555555555556E-2</v>
      </c>
      <c r="AB14" t="s">
        <v>100</v>
      </c>
      <c r="AC14" t="s">
        <v>274</v>
      </c>
      <c r="AD14" s="81">
        <v>4.1666666666666664E-2</v>
      </c>
      <c r="AE14" t="s">
        <v>103</v>
      </c>
      <c r="AF14" t="s">
        <v>242</v>
      </c>
      <c r="AG14" s="81">
        <v>1.0416666666666666E-2</v>
      </c>
      <c r="AH14" t="s">
        <v>103</v>
      </c>
      <c r="AI14" s="88" t="s">
        <v>204</v>
      </c>
      <c r="AJ14" s="85">
        <v>7.7777777777777779E-2</v>
      </c>
      <c r="AK14" s="35" t="s">
        <v>98</v>
      </c>
      <c r="AL14" s="93" t="s">
        <v>146</v>
      </c>
    </row>
    <row r="15" spans="2:38" x14ac:dyDescent="0.25">
      <c r="B15" t="s">
        <v>504</v>
      </c>
      <c r="C15" s="81">
        <v>0.12847222222222224</v>
      </c>
      <c r="D15" t="s">
        <v>103</v>
      </c>
      <c r="E15" t="s">
        <v>449</v>
      </c>
      <c r="F15" s="81">
        <v>2.0833333333333332E-2</v>
      </c>
      <c r="G15" t="s">
        <v>100</v>
      </c>
      <c r="H15" t="s">
        <v>468</v>
      </c>
      <c r="I15" s="81">
        <v>0.10416666666666667</v>
      </c>
      <c r="J15" t="s">
        <v>101</v>
      </c>
      <c r="K15" t="s">
        <v>449</v>
      </c>
      <c r="L15" s="81">
        <v>4.8611111111111112E-2</v>
      </c>
      <c r="M15" t="s">
        <v>100</v>
      </c>
      <c r="N15" t="s">
        <v>425</v>
      </c>
      <c r="O15" s="81">
        <v>6.25E-2</v>
      </c>
      <c r="P15" t="s">
        <v>101</v>
      </c>
      <c r="Q15" t="s">
        <v>387</v>
      </c>
      <c r="R15" s="81">
        <v>2.4305555555555556E-2</v>
      </c>
      <c r="S15" t="s">
        <v>98</v>
      </c>
      <c r="T15" t="s">
        <v>363</v>
      </c>
      <c r="U15" s="81">
        <v>1.9444444444444445E-2</v>
      </c>
      <c r="V15" t="s">
        <v>103</v>
      </c>
      <c r="W15" t="s">
        <v>328</v>
      </c>
      <c r="X15" s="81">
        <v>2.0833333333333332E-2</v>
      </c>
      <c r="Y15" t="s">
        <v>86</v>
      </c>
      <c r="Z15" t="s">
        <v>293</v>
      </c>
      <c r="AA15" s="81">
        <v>2.4305555555555556E-2</v>
      </c>
      <c r="AB15" t="s">
        <v>98</v>
      </c>
      <c r="AC15" t="s">
        <v>275</v>
      </c>
      <c r="AD15" s="81">
        <v>0.16666666666666666</v>
      </c>
      <c r="AE15" t="s">
        <v>100</v>
      </c>
      <c r="AF15" t="s">
        <v>243</v>
      </c>
      <c r="AG15" s="81">
        <v>0.22152777777777777</v>
      </c>
      <c r="AH15" t="s">
        <v>98</v>
      </c>
      <c r="AI15" s="88" t="s">
        <v>205</v>
      </c>
      <c r="AJ15" s="85">
        <v>1.0416666666666666E-2</v>
      </c>
      <c r="AK15" s="35" t="s">
        <v>98</v>
      </c>
      <c r="AL15" s="93" t="s">
        <v>147</v>
      </c>
    </row>
    <row r="16" spans="2:38" x14ac:dyDescent="0.25">
      <c r="B16" t="s">
        <v>505</v>
      </c>
      <c r="C16" s="81">
        <v>6.9444444444444441E-3</v>
      </c>
      <c r="D16" t="s">
        <v>103</v>
      </c>
      <c r="E16" t="s">
        <v>471</v>
      </c>
      <c r="F16" s="81">
        <v>2.7777777777777776E-2</v>
      </c>
      <c r="G16" t="s">
        <v>86</v>
      </c>
      <c r="H16" t="s">
        <v>469</v>
      </c>
      <c r="I16" s="81">
        <v>6.25E-2</v>
      </c>
      <c r="J16" t="s">
        <v>101</v>
      </c>
      <c r="K16" t="s">
        <v>450</v>
      </c>
      <c r="L16" s="81">
        <v>0.10416666666666667</v>
      </c>
      <c r="M16" t="s">
        <v>98</v>
      </c>
      <c r="N16" t="s">
        <v>426</v>
      </c>
      <c r="O16" s="81">
        <v>6.25E-2</v>
      </c>
      <c r="P16" t="s">
        <v>101</v>
      </c>
      <c r="Q16" t="s">
        <v>387</v>
      </c>
      <c r="R16" s="81">
        <v>7.2916666666666671E-2</v>
      </c>
      <c r="S16" t="s">
        <v>100</v>
      </c>
      <c r="T16" t="s">
        <v>364</v>
      </c>
      <c r="U16" s="81">
        <v>6.25E-2</v>
      </c>
      <c r="V16" t="s">
        <v>101</v>
      </c>
      <c r="W16" t="s">
        <v>330</v>
      </c>
      <c r="X16" s="81">
        <v>0.14583333333333334</v>
      </c>
      <c r="Y16" t="s">
        <v>101</v>
      </c>
      <c r="Z16" t="s">
        <v>294</v>
      </c>
      <c r="AA16" s="81">
        <v>9.7222222222222224E-2</v>
      </c>
      <c r="AB16" t="s">
        <v>103</v>
      </c>
      <c r="AC16" t="s">
        <v>276</v>
      </c>
      <c r="AD16" s="81">
        <v>2.7777777777777776E-2</v>
      </c>
      <c r="AE16" t="s">
        <v>100</v>
      </c>
      <c r="AF16" t="s">
        <v>244</v>
      </c>
      <c r="AG16" s="81">
        <v>2.0833333333333332E-2</v>
      </c>
      <c r="AH16" t="s">
        <v>103</v>
      </c>
      <c r="AI16" s="88" t="s">
        <v>206</v>
      </c>
      <c r="AJ16" s="85">
        <v>0.13055555555555556</v>
      </c>
      <c r="AK16" s="35" t="s">
        <v>98</v>
      </c>
      <c r="AL16" s="95" t="s">
        <v>148</v>
      </c>
    </row>
    <row r="17" spans="2:38" x14ac:dyDescent="0.25">
      <c r="B17" t="s">
        <v>506</v>
      </c>
      <c r="C17" s="81">
        <v>1.0416666666666666E-2</v>
      </c>
      <c r="D17" t="s">
        <v>86</v>
      </c>
      <c r="E17" t="s">
        <v>474</v>
      </c>
      <c r="F17" s="81">
        <v>2.013888888888889E-2</v>
      </c>
      <c r="G17" t="s">
        <v>98</v>
      </c>
      <c r="H17" t="s">
        <v>470</v>
      </c>
      <c r="I17" s="81">
        <v>0.14583333333333334</v>
      </c>
      <c r="J17" t="s">
        <v>101</v>
      </c>
      <c r="K17" t="s">
        <v>451</v>
      </c>
      <c r="L17" s="81">
        <v>5.5555555555555552E-2</v>
      </c>
      <c r="M17" t="s">
        <v>100</v>
      </c>
      <c r="N17" t="s">
        <v>427</v>
      </c>
      <c r="O17" s="81">
        <v>4.1666666666666664E-2</v>
      </c>
      <c r="P17" t="s">
        <v>101</v>
      </c>
      <c r="Q17" t="s">
        <v>358</v>
      </c>
      <c r="R17" s="81">
        <v>5.2083333333333336E-2</v>
      </c>
      <c r="S17" t="s">
        <v>98</v>
      </c>
      <c r="T17" t="s">
        <v>365</v>
      </c>
      <c r="U17" s="81">
        <v>0.10416666666666667</v>
      </c>
      <c r="V17" t="s">
        <v>100</v>
      </c>
      <c r="W17" t="s">
        <v>331</v>
      </c>
      <c r="X17" s="81">
        <v>4.1666666666666664E-2</v>
      </c>
      <c r="Y17" t="s">
        <v>86</v>
      </c>
      <c r="Z17" t="s">
        <v>296</v>
      </c>
      <c r="AA17" s="81">
        <v>0.125</v>
      </c>
      <c r="AB17" t="s">
        <v>101</v>
      </c>
      <c r="AC17" t="s">
        <v>277</v>
      </c>
      <c r="AD17" s="81">
        <v>3.4722222222222224E-2</v>
      </c>
      <c r="AE17" t="s">
        <v>103</v>
      </c>
      <c r="AF17" t="s">
        <v>245</v>
      </c>
      <c r="AG17" s="81">
        <v>7.6388888888888895E-2</v>
      </c>
      <c r="AH17" t="s">
        <v>86</v>
      </c>
      <c r="AI17" s="88" t="s">
        <v>207</v>
      </c>
      <c r="AJ17" s="85">
        <v>2.7777777777777776E-2</v>
      </c>
      <c r="AK17" s="35" t="s">
        <v>98</v>
      </c>
      <c r="AL17" s="93" t="s">
        <v>149</v>
      </c>
    </row>
    <row r="18" spans="2:38" x14ac:dyDescent="0.25">
      <c r="B18" t="s">
        <v>513</v>
      </c>
      <c r="C18" s="81">
        <v>6.5972222222222224E-2</v>
      </c>
      <c r="D18" t="s">
        <v>100</v>
      </c>
      <c r="E18" t="s">
        <v>488</v>
      </c>
      <c r="F18" s="81">
        <v>3.472222222222222E-3</v>
      </c>
      <c r="G18" t="s">
        <v>103</v>
      </c>
      <c r="H18" t="s">
        <v>471</v>
      </c>
      <c r="I18" s="81">
        <v>7.3611111111111113E-2</v>
      </c>
      <c r="J18" t="s">
        <v>86</v>
      </c>
      <c r="K18" t="s">
        <v>452</v>
      </c>
      <c r="L18" s="81">
        <v>0.125</v>
      </c>
      <c r="M18" t="s">
        <v>101</v>
      </c>
      <c r="N18" t="s">
        <v>427</v>
      </c>
      <c r="O18" s="81">
        <v>0.11944444444444445</v>
      </c>
      <c r="P18" t="s">
        <v>103</v>
      </c>
      <c r="Q18" t="s">
        <v>408</v>
      </c>
      <c r="R18" s="81">
        <v>9.7222222222222224E-2</v>
      </c>
      <c r="S18" t="s">
        <v>86</v>
      </c>
      <c r="T18" t="s">
        <v>365</v>
      </c>
      <c r="U18" s="81">
        <v>1.3888888888888888E-2</v>
      </c>
      <c r="V18" t="s">
        <v>103</v>
      </c>
      <c r="W18" t="s">
        <v>331</v>
      </c>
      <c r="X18" s="81">
        <v>3.125E-2</v>
      </c>
      <c r="Y18" t="s">
        <v>101</v>
      </c>
      <c r="Z18" t="s">
        <v>297</v>
      </c>
      <c r="AA18" s="81">
        <v>0.10416666666666667</v>
      </c>
      <c r="AB18" t="s">
        <v>101</v>
      </c>
      <c r="AC18" t="s">
        <v>277</v>
      </c>
      <c r="AD18" s="81">
        <v>3.4722222222222224E-2</v>
      </c>
      <c r="AE18" t="s">
        <v>100</v>
      </c>
      <c r="AF18" t="s">
        <v>246</v>
      </c>
      <c r="AG18" s="81">
        <v>0.10416666666666667</v>
      </c>
      <c r="AH18" t="s">
        <v>101</v>
      </c>
      <c r="AI18" s="88" t="s">
        <v>208</v>
      </c>
      <c r="AJ18" s="85">
        <v>6.9444444444444434E-2</v>
      </c>
      <c r="AK18" s="35" t="s">
        <v>98</v>
      </c>
      <c r="AL18" s="93" t="s">
        <v>150</v>
      </c>
    </row>
    <row r="19" spans="2:38" x14ac:dyDescent="0.25">
      <c r="B19" t="s">
        <v>507</v>
      </c>
      <c r="C19" s="81">
        <v>0.125</v>
      </c>
      <c r="D19" t="s">
        <v>101</v>
      </c>
      <c r="E19" t="s">
        <v>489</v>
      </c>
      <c r="F19" s="81">
        <v>1.3888888888888888E-2</v>
      </c>
      <c r="G19" t="s">
        <v>86</v>
      </c>
      <c r="H19" t="s">
        <v>472</v>
      </c>
      <c r="I19" s="81">
        <v>3.4722222222222224E-2</v>
      </c>
      <c r="J19" t="s">
        <v>103</v>
      </c>
      <c r="K19" t="s">
        <v>453</v>
      </c>
      <c r="L19" s="81">
        <v>0.16666666666666666</v>
      </c>
      <c r="M19" t="s">
        <v>101</v>
      </c>
      <c r="N19" t="s">
        <v>427</v>
      </c>
      <c r="O19" s="81">
        <v>0.14583333333333334</v>
      </c>
      <c r="P19" t="s">
        <v>86</v>
      </c>
      <c r="Q19" t="s">
        <v>407</v>
      </c>
      <c r="R19" s="81">
        <v>9.7222222222222224E-2</v>
      </c>
      <c r="S19" t="s">
        <v>86</v>
      </c>
      <c r="T19" t="s">
        <v>366</v>
      </c>
      <c r="U19" s="81">
        <v>8.3333333333333329E-2</v>
      </c>
      <c r="V19" t="s">
        <v>100</v>
      </c>
      <c r="W19" t="s">
        <v>332</v>
      </c>
      <c r="X19" s="81">
        <v>0.11805555555555557</v>
      </c>
      <c r="Y19" t="s">
        <v>86</v>
      </c>
      <c r="Z19" t="s">
        <v>298</v>
      </c>
      <c r="AA19" s="81">
        <v>0.125</v>
      </c>
      <c r="AB19" t="s">
        <v>101</v>
      </c>
      <c r="AC19" t="s">
        <v>277</v>
      </c>
      <c r="AD19" s="81">
        <v>3.4722222222222224E-2</v>
      </c>
      <c r="AE19" t="s">
        <v>98</v>
      </c>
      <c r="AF19" t="s">
        <v>247</v>
      </c>
      <c r="AG19" s="81">
        <v>9.9999999999999992E-2</v>
      </c>
      <c r="AH19" t="s">
        <v>103</v>
      </c>
      <c r="AI19" s="88" t="s">
        <v>209</v>
      </c>
      <c r="AJ19" s="85">
        <v>2.7777777777777776E-2</v>
      </c>
      <c r="AK19" s="35" t="s">
        <v>98</v>
      </c>
      <c r="AL19" s="93" t="s">
        <v>149</v>
      </c>
    </row>
    <row r="20" spans="2:38" x14ac:dyDescent="0.25">
      <c r="B20" t="s">
        <v>514</v>
      </c>
      <c r="C20" s="81">
        <v>0.1388888888888889</v>
      </c>
      <c r="D20" t="s">
        <v>86</v>
      </c>
      <c r="E20" t="s">
        <v>490</v>
      </c>
      <c r="F20" s="81">
        <v>0.11666666666666665</v>
      </c>
      <c r="G20" t="s">
        <v>103</v>
      </c>
      <c r="H20" t="s">
        <v>473</v>
      </c>
      <c r="I20" s="81">
        <v>5.1388888888888894E-2</v>
      </c>
      <c r="J20" t="s">
        <v>86</v>
      </c>
      <c r="K20" t="s">
        <v>454</v>
      </c>
      <c r="L20" s="81">
        <v>8.3333333333333329E-2</v>
      </c>
      <c r="M20" t="s">
        <v>101</v>
      </c>
      <c r="N20" t="s">
        <v>428</v>
      </c>
      <c r="O20" s="81">
        <v>0.10416666666666667</v>
      </c>
      <c r="P20" t="s">
        <v>86</v>
      </c>
      <c r="Q20" t="s">
        <v>407</v>
      </c>
      <c r="R20" s="81">
        <v>9.7222222222222224E-2</v>
      </c>
      <c r="S20" t="s">
        <v>103</v>
      </c>
      <c r="T20" t="s">
        <v>367</v>
      </c>
      <c r="U20" s="81">
        <v>6.25E-2</v>
      </c>
      <c r="V20" t="s">
        <v>100</v>
      </c>
      <c r="W20" t="s">
        <v>333</v>
      </c>
      <c r="X20" s="81">
        <v>6.25E-2</v>
      </c>
      <c r="Y20" t="s">
        <v>86</v>
      </c>
      <c r="Z20" t="s">
        <v>299</v>
      </c>
      <c r="AA20" s="81">
        <v>0.125</v>
      </c>
      <c r="AB20" t="s">
        <v>101</v>
      </c>
      <c r="AC20" t="s">
        <v>278</v>
      </c>
      <c r="AD20" s="81">
        <v>0.16666666666666666</v>
      </c>
      <c r="AE20" t="s">
        <v>101</v>
      </c>
      <c r="AF20" t="s">
        <v>248</v>
      </c>
      <c r="AG20" s="81">
        <v>0.16666666666666666</v>
      </c>
      <c r="AH20" t="s">
        <v>101</v>
      </c>
      <c r="AI20" s="88" t="s">
        <v>210</v>
      </c>
      <c r="AJ20" s="85">
        <v>4.7222222222222221E-2</v>
      </c>
      <c r="AK20" s="35" t="s">
        <v>98</v>
      </c>
      <c r="AL20" s="93" t="s">
        <v>151</v>
      </c>
    </row>
    <row r="21" spans="2:38" x14ac:dyDescent="0.25">
      <c r="B21" t="s">
        <v>515</v>
      </c>
      <c r="C21" s="81">
        <v>0.11805555555555557</v>
      </c>
      <c r="D21" t="s">
        <v>86</v>
      </c>
      <c r="E21" t="s">
        <v>491</v>
      </c>
      <c r="F21" s="81">
        <v>1.0416666666666666E-2</v>
      </c>
      <c r="G21" t="s">
        <v>103</v>
      </c>
      <c r="H21" t="s">
        <v>474</v>
      </c>
      <c r="I21" s="81">
        <v>2.0833333333333332E-2</v>
      </c>
      <c r="J21" t="s">
        <v>98</v>
      </c>
      <c r="K21" t="s">
        <v>455</v>
      </c>
      <c r="L21" s="81">
        <v>5.5555555555555558E-3</v>
      </c>
      <c r="M21" t="s">
        <v>103</v>
      </c>
      <c r="N21" t="s">
        <v>429</v>
      </c>
      <c r="O21" s="81">
        <v>8.3333333333333329E-2</v>
      </c>
      <c r="P21" t="s">
        <v>101</v>
      </c>
      <c r="Q21" t="s">
        <v>409</v>
      </c>
      <c r="R21" s="81">
        <v>6.25E-2</v>
      </c>
      <c r="S21" t="s">
        <v>86</v>
      </c>
      <c r="T21" t="s">
        <v>368</v>
      </c>
      <c r="U21" s="81">
        <v>0.10416666666666667</v>
      </c>
      <c r="V21" t="s">
        <v>101</v>
      </c>
      <c r="W21" t="s">
        <v>334</v>
      </c>
      <c r="X21" s="81">
        <v>4.1666666666666664E-2</v>
      </c>
      <c r="Y21" t="s">
        <v>100</v>
      </c>
      <c r="Z21" t="s">
        <v>295</v>
      </c>
      <c r="AA21" s="81">
        <v>4.1666666666666664E-2</v>
      </c>
      <c r="AB21" t="s">
        <v>101</v>
      </c>
      <c r="AC21" t="s">
        <v>279</v>
      </c>
      <c r="AD21" s="81">
        <v>6.25E-2</v>
      </c>
      <c r="AE21" t="s">
        <v>101</v>
      </c>
      <c r="AF21" t="s">
        <v>249</v>
      </c>
      <c r="AG21" s="81">
        <v>0.14583333333333334</v>
      </c>
      <c r="AH21" t="s">
        <v>100</v>
      </c>
      <c r="AI21" s="88" t="s">
        <v>211</v>
      </c>
      <c r="AJ21" s="85">
        <v>1.7361111111111112E-2</v>
      </c>
      <c r="AK21" s="35" t="s">
        <v>98</v>
      </c>
      <c r="AL21" s="93" t="s">
        <v>152</v>
      </c>
    </row>
    <row r="22" spans="2:38" x14ac:dyDescent="0.25">
      <c r="B22" t="s">
        <v>515</v>
      </c>
      <c r="C22" s="81">
        <v>4.1666666666666664E-2</v>
      </c>
      <c r="D22" t="s">
        <v>103</v>
      </c>
      <c r="E22" t="s">
        <v>492</v>
      </c>
      <c r="F22" s="81">
        <v>1.3888888888888888E-2</v>
      </c>
      <c r="G22" t="s">
        <v>103</v>
      </c>
      <c r="H22" t="s">
        <v>448</v>
      </c>
      <c r="I22" s="81">
        <v>0.10416666666666667</v>
      </c>
      <c r="J22" t="s">
        <v>100</v>
      </c>
      <c r="K22" t="s">
        <v>385</v>
      </c>
      <c r="L22" s="81">
        <v>6.9444444444444434E-2</v>
      </c>
      <c r="M22" t="s">
        <v>86</v>
      </c>
      <c r="N22" t="s">
        <v>429</v>
      </c>
      <c r="O22" s="81">
        <v>8.3333333333333329E-2</v>
      </c>
      <c r="P22" t="s">
        <v>86</v>
      </c>
      <c r="Q22" t="s">
        <v>410</v>
      </c>
      <c r="R22" s="81">
        <v>3.5416666666666666E-2</v>
      </c>
      <c r="S22" t="s">
        <v>98</v>
      </c>
      <c r="T22" t="s">
        <v>369</v>
      </c>
      <c r="U22" s="81">
        <v>1.3194444444444444E-2</v>
      </c>
      <c r="V22" t="s">
        <v>98</v>
      </c>
      <c r="W22" t="s">
        <v>335</v>
      </c>
      <c r="X22" s="81">
        <v>2.7777777777777776E-2</v>
      </c>
      <c r="Y22" t="s">
        <v>86</v>
      </c>
      <c r="Z22" t="s">
        <v>300</v>
      </c>
      <c r="AA22" s="81">
        <v>0.10416666666666667</v>
      </c>
      <c r="AB22" t="s">
        <v>100</v>
      </c>
      <c r="AC22" t="s">
        <v>280</v>
      </c>
      <c r="AD22" s="81">
        <v>2.4305555555555556E-2</v>
      </c>
      <c r="AE22" t="s">
        <v>98</v>
      </c>
      <c r="AF22" t="s">
        <v>250</v>
      </c>
      <c r="AG22" s="81">
        <v>6.25E-2</v>
      </c>
      <c r="AH22" t="s">
        <v>100</v>
      </c>
      <c r="AI22" s="88" t="s">
        <v>206</v>
      </c>
      <c r="AJ22" s="85">
        <v>8.1944444444444445E-2</v>
      </c>
      <c r="AK22" s="35" t="s">
        <v>98</v>
      </c>
      <c r="AL22" s="93" t="s">
        <v>145</v>
      </c>
    </row>
    <row r="23" spans="2:38" x14ac:dyDescent="0.25">
      <c r="B23" t="s">
        <v>508</v>
      </c>
      <c r="C23" s="81">
        <v>0.35000000000000003</v>
      </c>
      <c r="D23" t="s">
        <v>103</v>
      </c>
      <c r="E23" t="s">
        <v>492</v>
      </c>
      <c r="F23" s="81">
        <v>6.9444444444444441E-3</v>
      </c>
      <c r="G23" t="s">
        <v>86</v>
      </c>
      <c r="H23" t="s">
        <v>450</v>
      </c>
      <c r="I23" s="81">
        <v>0.10069444444444443</v>
      </c>
      <c r="J23" t="s">
        <v>98</v>
      </c>
      <c r="K23" t="s">
        <v>385</v>
      </c>
      <c r="L23" s="81">
        <v>0.22916666666666666</v>
      </c>
      <c r="M23" t="s">
        <v>103</v>
      </c>
      <c r="N23" t="s">
        <v>430</v>
      </c>
      <c r="O23" s="81">
        <v>0.1451388888888889</v>
      </c>
      <c r="P23" t="s">
        <v>103</v>
      </c>
      <c r="Q23" t="s">
        <v>398</v>
      </c>
      <c r="R23" s="81">
        <v>0.16666666666666666</v>
      </c>
      <c r="S23" t="s">
        <v>86</v>
      </c>
      <c r="T23" t="s">
        <v>370</v>
      </c>
      <c r="U23" s="81">
        <v>3.472222222222222E-3</v>
      </c>
      <c r="V23" t="s">
        <v>103</v>
      </c>
      <c r="W23" t="s">
        <v>336</v>
      </c>
      <c r="X23" s="81">
        <v>3.4722222222222224E-2</v>
      </c>
      <c r="Y23" t="s">
        <v>98</v>
      </c>
      <c r="Z23" t="s">
        <v>301</v>
      </c>
      <c r="AA23" s="81">
        <v>6.9444444444444441E-3</v>
      </c>
      <c r="AB23" t="s">
        <v>101</v>
      </c>
      <c r="AC23" t="s">
        <v>281</v>
      </c>
      <c r="AD23" s="81">
        <v>4.1666666666666664E-2</v>
      </c>
      <c r="AE23" t="s">
        <v>86</v>
      </c>
      <c r="AF23" t="s">
        <v>251</v>
      </c>
      <c r="AG23" s="81">
        <v>0.10416666666666667</v>
      </c>
      <c r="AH23" t="s">
        <v>100</v>
      </c>
      <c r="AI23" s="88" t="s">
        <v>212</v>
      </c>
      <c r="AJ23" s="85">
        <v>8.3333333333333329E-2</v>
      </c>
      <c r="AK23" s="35" t="s">
        <v>100</v>
      </c>
      <c r="AL23" s="93" t="s">
        <v>153</v>
      </c>
    </row>
    <row r="24" spans="2:38" x14ac:dyDescent="0.25">
      <c r="B24" t="s">
        <v>358</v>
      </c>
      <c r="C24" s="81">
        <v>2.4305555555555556E-2</v>
      </c>
      <c r="D24" t="s">
        <v>98</v>
      </c>
      <c r="E24" t="s">
        <v>493</v>
      </c>
      <c r="F24" s="81">
        <v>5.7638888888888885E-2</v>
      </c>
      <c r="G24" t="s">
        <v>86</v>
      </c>
      <c r="H24" t="s">
        <v>450</v>
      </c>
      <c r="I24" s="81">
        <v>5.5555555555555552E-2</v>
      </c>
      <c r="J24" t="s">
        <v>100</v>
      </c>
      <c r="K24" t="s">
        <v>422</v>
      </c>
      <c r="L24" s="81">
        <v>2.1527777777777781E-2</v>
      </c>
      <c r="M24" t="s">
        <v>98</v>
      </c>
      <c r="N24" t="s">
        <v>431</v>
      </c>
      <c r="O24" s="81">
        <v>6.25E-2</v>
      </c>
      <c r="P24" t="s">
        <v>98</v>
      </c>
      <c r="Q24" t="s">
        <v>352</v>
      </c>
      <c r="R24" s="81">
        <v>0.19027777777777777</v>
      </c>
      <c r="S24" t="s">
        <v>98</v>
      </c>
      <c r="T24" t="s">
        <v>371</v>
      </c>
      <c r="U24" s="81">
        <v>0.125</v>
      </c>
      <c r="V24" t="s">
        <v>101</v>
      </c>
      <c r="W24" t="s">
        <v>336</v>
      </c>
      <c r="X24" s="81">
        <v>1.0416666666666666E-2</v>
      </c>
      <c r="Y24" t="s">
        <v>103</v>
      </c>
      <c r="Z24" t="s">
        <v>302</v>
      </c>
      <c r="AA24" s="81">
        <v>2.7777777777777776E-2</v>
      </c>
      <c r="AB24" t="s">
        <v>103</v>
      </c>
      <c r="AC24" t="s">
        <v>282</v>
      </c>
      <c r="AD24" s="81">
        <v>4.8611111111111112E-2</v>
      </c>
      <c r="AE24" t="s">
        <v>86</v>
      </c>
      <c r="AF24" t="s">
        <v>252</v>
      </c>
      <c r="AG24" s="81">
        <v>9.6527777777777768E-2</v>
      </c>
      <c r="AH24" t="s">
        <v>103</v>
      </c>
      <c r="AI24" s="88" t="s">
        <v>213</v>
      </c>
      <c r="AJ24" s="85">
        <v>0.10416666666666667</v>
      </c>
      <c r="AK24" s="35" t="s">
        <v>100</v>
      </c>
      <c r="AL24" s="93" t="s">
        <v>154</v>
      </c>
    </row>
    <row r="25" spans="2:38" x14ac:dyDescent="0.25">
      <c r="B25" t="s">
        <v>358</v>
      </c>
      <c r="C25" s="81">
        <v>5.6944444444444443E-2</v>
      </c>
      <c r="D25" t="s">
        <v>103</v>
      </c>
      <c r="E25" t="s">
        <v>494</v>
      </c>
      <c r="F25" s="81">
        <v>0.13749999999999998</v>
      </c>
      <c r="G25" t="s">
        <v>98</v>
      </c>
      <c r="H25" t="s">
        <v>450</v>
      </c>
      <c r="I25" s="81">
        <v>8.3333333333333329E-2</v>
      </c>
      <c r="J25" t="s">
        <v>103</v>
      </c>
      <c r="K25" t="s">
        <v>427</v>
      </c>
      <c r="L25" s="81">
        <v>0.12708333333333333</v>
      </c>
      <c r="M25" t="s">
        <v>103</v>
      </c>
      <c r="N25" t="s">
        <v>431</v>
      </c>
      <c r="O25" s="81">
        <v>6.25E-2</v>
      </c>
      <c r="P25" t="s">
        <v>100</v>
      </c>
      <c r="Q25" t="s">
        <v>352</v>
      </c>
      <c r="R25" s="81">
        <v>2.4305555555555556E-2</v>
      </c>
      <c r="S25" t="s">
        <v>103</v>
      </c>
      <c r="T25" t="s">
        <v>372</v>
      </c>
      <c r="U25" s="81">
        <v>4.1666666666666664E-2</v>
      </c>
      <c r="V25" t="s">
        <v>101</v>
      </c>
      <c r="W25" t="s">
        <v>337</v>
      </c>
      <c r="X25" s="81">
        <v>0.14583333333333334</v>
      </c>
      <c r="Y25" t="s">
        <v>100</v>
      </c>
      <c r="Z25" t="s">
        <v>303</v>
      </c>
      <c r="AA25" s="81">
        <v>0.16458333333333333</v>
      </c>
      <c r="AB25" t="s">
        <v>98</v>
      </c>
      <c r="AC25" t="s">
        <v>283</v>
      </c>
      <c r="AD25" s="81">
        <v>0.12986111111111112</v>
      </c>
      <c r="AE25" t="s">
        <v>98</v>
      </c>
      <c r="AF25" t="s">
        <v>253</v>
      </c>
      <c r="AG25" s="81">
        <v>8.3333333333333329E-2</v>
      </c>
      <c r="AH25" t="s">
        <v>103</v>
      </c>
      <c r="AI25" s="88" t="s">
        <v>214</v>
      </c>
      <c r="AJ25" s="85">
        <v>7.2916666666666671E-2</v>
      </c>
      <c r="AK25" s="35" t="s">
        <v>100</v>
      </c>
      <c r="AL25" s="93" t="s">
        <v>155</v>
      </c>
    </row>
    <row r="26" spans="2:38" x14ac:dyDescent="0.25">
      <c r="B26" t="s">
        <v>398</v>
      </c>
      <c r="C26" s="81">
        <v>0.21527777777777779</v>
      </c>
      <c r="D26" t="s">
        <v>86</v>
      </c>
      <c r="E26" t="s">
        <v>494</v>
      </c>
      <c r="F26" s="81">
        <v>4.1666666666666664E-2</v>
      </c>
      <c r="G26" t="s">
        <v>103</v>
      </c>
      <c r="H26" t="s">
        <v>451</v>
      </c>
      <c r="I26" s="81">
        <v>1.3888888888888888E-2</v>
      </c>
      <c r="J26" t="s">
        <v>100</v>
      </c>
      <c r="K26" t="s">
        <v>427</v>
      </c>
      <c r="L26" s="81">
        <v>9.0277777777777776E-2</v>
      </c>
      <c r="M26" t="s">
        <v>86</v>
      </c>
      <c r="N26" t="s">
        <v>432</v>
      </c>
      <c r="O26" s="81">
        <v>0.16111111111111112</v>
      </c>
      <c r="P26" t="s">
        <v>98</v>
      </c>
      <c r="Q26" t="s">
        <v>376</v>
      </c>
      <c r="R26" s="81">
        <v>2.0833333333333332E-2</v>
      </c>
      <c r="S26" t="s">
        <v>86</v>
      </c>
      <c r="T26" t="s">
        <v>373</v>
      </c>
      <c r="U26" s="81">
        <v>4.1666666666666664E-2</v>
      </c>
      <c r="V26" t="s">
        <v>101</v>
      </c>
      <c r="W26" t="s">
        <v>338</v>
      </c>
      <c r="X26" s="81">
        <v>0.19444444444444445</v>
      </c>
      <c r="Y26" t="s">
        <v>86</v>
      </c>
      <c r="Z26" t="s">
        <v>304</v>
      </c>
      <c r="AA26" s="81">
        <v>8.9583333333333334E-2</v>
      </c>
      <c r="AB26" t="s">
        <v>98</v>
      </c>
      <c r="AC26" t="s">
        <v>284</v>
      </c>
      <c r="AD26" s="81">
        <v>0.10416666666666667</v>
      </c>
      <c r="AE26" t="s">
        <v>100</v>
      </c>
      <c r="AF26" t="s">
        <v>254</v>
      </c>
      <c r="AG26" s="81">
        <v>0.125</v>
      </c>
      <c r="AH26" t="s">
        <v>101</v>
      </c>
      <c r="AI26" s="88" t="s">
        <v>207</v>
      </c>
      <c r="AJ26" s="85">
        <v>1.3888888888888888E-2</v>
      </c>
      <c r="AK26" s="35" t="s">
        <v>100</v>
      </c>
      <c r="AL26" s="93" t="s">
        <v>156</v>
      </c>
    </row>
    <row r="27" spans="2:38" x14ac:dyDescent="0.25">
      <c r="B27" t="s">
        <v>509</v>
      </c>
      <c r="C27" s="81">
        <v>0.1076388888888889</v>
      </c>
      <c r="D27" t="s">
        <v>98</v>
      </c>
      <c r="E27" t="s">
        <v>495</v>
      </c>
      <c r="F27" s="81">
        <v>2.7777777777777776E-2</v>
      </c>
      <c r="G27" t="s">
        <v>100</v>
      </c>
      <c r="H27" t="s">
        <v>451</v>
      </c>
      <c r="I27" s="81">
        <v>2.4305555555555556E-2</v>
      </c>
      <c r="J27" t="s">
        <v>103</v>
      </c>
      <c r="K27" t="s">
        <v>427</v>
      </c>
      <c r="L27" s="81">
        <v>0.10416666666666667</v>
      </c>
      <c r="M27" t="s">
        <v>101</v>
      </c>
      <c r="N27" t="s">
        <v>433</v>
      </c>
      <c r="O27" s="81">
        <v>7.6388888888888895E-2</v>
      </c>
      <c r="P27" t="s">
        <v>98</v>
      </c>
      <c r="Q27" t="s">
        <v>376</v>
      </c>
      <c r="R27" s="81">
        <v>0.20694444444444446</v>
      </c>
      <c r="S27" t="s">
        <v>103</v>
      </c>
      <c r="T27" t="s">
        <v>374</v>
      </c>
      <c r="U27" s="81">
        <v>8.3333333333333329E-2</v>
      </c>
      <c r="V27" t="s">
        <v>101</v>
      </c>
      <c r="W27" t="s">
        <v>339</v>
      </c>
      <c r="X27" s="81">
        <v>2.7777777777777776E-2</v>
      </c>
      <c r="Y27" t="s">
        <v>100</v>
      </c>
      <c r="Z27" t="s">
        <v>305</v>
      </c>
      <c r="AA27" s="81">
        <v>0.11805555555555557</v>
      </c>
      <c r="AB27" t="s">
        <v>86</v>
      </c>
      <c r="AC27" t="s">
        <v>285</v>
      </c>
      <c r="AD27" s="81">
        <v>7.7777777777777779E-2</v>
      </c>
      <c r="AE27" t="s">
        <v>103</v>
      </c>
      <c r="AF27" t="s">
        <v>255</v>
      </c>
      <c r="AG27" s="81">
        <v>7.2916666666666671E-2</v>
      </c>
      <c r="AH27" t="s">
        <v>98</v>
      </c>
      <c r="AI27" s="88" t="s">
        <v>215</v>
      </c>
      <c r="AJ27" s="85">
        <v>0.10416666666666667</v>
      </c>
      <c r="AK27" s="35" t="s">
        <v>100</v>
      </c>
      <c r="AL27" s="93" t="s">
        <v>157</v>
      </c>
    </row>
    <row r="28" spans="2:38" x14ac:dyDescent="0.25">
      <c r="B28" t="s">
        <v>497</v>
      </c>
      <c r="C28" s="81">
        <v>0.20972222222222223</v>
      </c>
      <c r="D28" t="s">
        <v>98</v>
      </c>
      <c r="E28" t="s">
        <v>496</v>
      </c>
      <c r="F28" s="81">
        <v>6.25E-2</v>
      </c>
      <c r="G28" t="s">
        <v>100</v>
      </c>
      <c r="H28" t="s">
        <v>475</v>
      </c>
      <c r="I28" s="81">
        <v>1.7361111111111112E-2</v>
      </c>
      <c r="J28" t="s">
        <v>103</v>
      </c>
      <c r="K28" t="s">
        <v>430</v>
      </c>
      <c r="L28" s="81">
        <v>2.7777777777777776E-2</v>
      </c>
      <c r="M28" t="s">
        <v>103</v>
      </c>
      <c r="N28" t="s">
        <v>434</v>
      </c>
      <c r="O28" s="81">
        <v>2.0833333333333332E-2</v>
      </c>
      <c r="P28" t="s">
        <v>101</v>
      </c>
      <c r="Q28" t="s">
        <v>411</v>
      </c>
      <c r="R28" s="81">
        <v>0.14791666666666667</v>
      </c>
      <c r="S28" t="s">
        <v>103</v>
      </c>
      <c r="T28" t="s">
        <v>375</v>
      </c>
      <c r="U28" s="81">
        <v>4.7222222222222221E-2</v>
      </c>
      <c r="V28" t="s">
        <v>103</v>
      </c>
      <c r="W28" t="s">
        <v>340</v>
      </c>
      <c r="X28" s="81">
        <v>1.7361111111111112E-2</v>
      </c>
      <c r="Y28" t="s">
        <v>103</v>
      </c>
      <c r="Z28" t="s">
        <v>306</v>
      </c>
      <c r="AA28" s="81">
        <v>8.3333333333333329E-2</v>
      </c>
      <c r="AB28" t="s">
        <v>100</v>
      </c>
      <c r="AC28" t="s">
        <v>286</v>
      </c>
      <c r="AD28" s="81">
        <v>0.10555555555555556</v>
      </c>
      <c r="AE28" t="s">
        <v>103</v>
      </c>
      <c r="AF28" t="s">
        <v>255</v>
      </c>
      <c r="AG28" s="81">
        <v>1.7361111111111112E-2</v>
      </c>
      <c r="AH28" t="s">
        <v>100</v>
      </c>
      <c r="AI28" s="88" t="s">
        <v>216</v>
      </c>
      <c r="AJ28" s="85">
        <v>7.2916666666666671E-2</v>
      </c>
      <c r="AK28" s="35" t="s">
        <v>100</v>
      </c>
      <c r="AL28" s="93" t="s">
        <v>158</v>
      </c>
    </row>
    <row r="29" spans="2:38" x14ac:dyDescent="0.25">
      <c r="B29" t="s">
        <v>516</v>
      </c>
      <c r="C29" s="81">
        <v>8.3333333333333329E-2</v>
      </c>
      <c r="D29" t="s">
        <v>103</v>
      </c>
      <c r="E29" s="2" t="s">
        <v>233</v>
      </c>
      <c r="F29" s="81">
        <v>2.0833333333333332E-2</v>
      </c>
      <c r="G29" t="s">
        <v>86</v>
      </c>
      <c r="H29" t="s">
        <v>476</v>
      </c>
      <c r="I29" s="81">
        <v>0.15138888888888888</v>
      </c>
      <c r="J29" t="s">
        <v>98</v>
      </c>
      <c r="K29" t="s">
        <v>432</v>
      </c>
      <c r="L29" s="81">
        <v>2.0833333333333332E-2</v>
      </c>
      <c r="M29" t="s">
        <v>98</v>
      </c>
      <c r="N29" t="s">
        <v>434</v>
      </c>
      <c r="O29" s="81">
        <v>1.3194444444444444E-2</v>
      </c>
      <c r="P29" t="s">
        <v>103</v>
      </c>
      <c r="Q29" t="s">
        <v>411</v>
      </c>
      <c r="R29" s="81">
        <v>6.3888888888888884E-2</v>
      </c>
      <c r="S29" t="s">
        <v>98</v>
      </c>
      <c r="T29" t="s">
        <v>375</v>
      </c>
      <c r="U29" s="81">
        <v>0.12847222222222224</v>
      </c>
      <c r="V29" t="s">
        <v>98</v>
      </c>
      <c r="W29" t="s">
        <v>341</v>
      </c>
      <c r="X29" s="81">
        <v>8.3333333333333329E-2</v>
      </c>
      <c r="Y29" t="s">
        <v>101</v>
      </c>
      <c r="Z29" t="s">
        <v>306</v>
      </c>
      <c r="AA29" s="81">
        <v>8.3333333333333329E-2</v>
      </c>
      <c r="AB29" t="s">
        <v>103</v>
      </c>
      <c r="AC29" t="s">
        <v>287</v>
      </c>
      <c r="AD29" s="81">
        <v>0.17361111111111113</v>
      </c>
      <c r="AE29" t="s">
        <v>103</v>
      </c>
      <c r="AF29" t="s">
        <v>139</v>
      </c>
      <c r="AG29" s="81">
        <v>9.0277777777777776E-2</v>
      </c>
      <c r="AH29" t="s">
        <v>86</v>
      </c>
      <c r="AI29" s="88" t="s">
        <v>217</v>
      </c>
      <c r="AJ29" s="85">
        <v>0.13541666666666666</v>
      </c>
      <c r="AK29" s="35" t="s">
        <v>100</v>
      </c>
      <c r="AL29" s="93" t="s">
        <v>159</v>
      </c>
    </row>
    <row r="30" spans="2:38" x14ac:dyDescent="0.25">
      <c r="B30" t="s">
        <v>510</v>
      </c>
      <c r="C30" s="81">
        <v>3.125E-2</v>
      </c>
      <c r="D30" t="s">
        <v>100</v>
      </c>
      <c r="E30" s="2" t="s">
        <v>233</v>
      </c>
      <c r="F30" s="81">
        <v>1.3888888888888888E-2</v>
      </c>
      <c r="G30" t="s">
        <v>100</v>
      </c>
      <c r="H30" t="s">
        <v>476</v>
      </c>
      <c r="I30" s="81">
        <v>1.3888888888888888E-2</v>
      </c>
      <c r="J30" t="s">
        <v>103</v>
      </c>
      <c r="K30" t="s">
        <v>433</v>
      </c>
      <c r="L30" s="81">
        <v>0.1277777777777778</v>
      </c>
      <c r="M30" t="s">
        <v>98</v>
      </c>
      <c r="N30" t="s">
        <v>435</v>
      </c>
      <c r="O30" s="81">
        <v>4.5138888888888888E-2</v>
      </c>
      <c r="P30" t="s">
        <v>100</v>
      </c>
      <c r="Q30" t="s">
        <v>412</v>
      </c>
      <c r="R30" s="81">
        <v>0.20833333333333334</v>
      </c>
      <c r="S30" t="s">
        <v>100</v>
      </c>
      <c r="T30" t="s">
        <v>375</v>
      </c>
      <c r="U30" s="81">
        <v>3.4722222222222224E-2</v>
      </c>
      <c r="V30" t="s">
        <v>100</v>
      </c>
      <c r="W30" t="s">
        <v>342</v>
      </c>
      <c r="X30" s="81">
        <v>0.10416666666666667</v>
      </c>
      <c r="Y30" t="s">
        <v>100</v>
      </c>
      <c r="Z30" t="s">
        <v>306</v>
      </c>
      <c r="AA30" s="81">
        <v>8.3333333333333329E-2</v>
      </c>
      <c r="AB30" t="s">
        <v>98</v>
      </c>
      <c r="AC30" t="s">
        <v>288</v>
      </c>
      <c r="AD30" s="81">
        <v>4.5833333333333337E-2</v>
      </c>
      <c r="AE30" t="s">
        <v>98</v>
      </c>
      <c r="AF30" t="s">
        <v>256</v>
      </c>
      <c r="AG30" s="81">
        <v>0.15277777777777776</v>
      </c>
      <c r="AH30" t="s">
        <v>102</v>
      </c>
      <c r="AI30" s="88" t="s">
        <v>218</v>
      </c>
      <c r="AJ30" s="85">
        <v>3.125E-2</v>
      </c>
      <c r="AK30" s="35" t="s">
        <v>100</v>
      </c>
      <c r="AL30" s="93" t="s">
        <v>160</v>
      </c>
    </row>
    <row r="31" spans="2:38" x14ac:dyDescent="0.25">
      <c r="B31" t="s">
        <v>511</v>
      </c>
      <c r="C31" s="81">
        <v>2.0833333333333332E-2</v>
      </c>
      <c r="D31" t="s">
        <v>100</v>
      </c>
      <c r="E31" s="2" t="s">
        <v>233</v>
      </c>
      <c r="F31" s="81">
        <v>1.5277777777777777E-2</v>
      </c>
      <c r="G31" t="s">
        <v>103</v>
      </c>
      <c r="H31" t="s">
        <v>477</v>
      </c>
      <c r="I31" s="81">
        <v>1.8055555555555557E-2</v>
      </c>
      <c r="J31" t="s">
        <v>103</v>
      </c>
      <c r="K31" t="s">
        <v>433</v>
      </c>
      <c r="L31" s="81">
        <v>1.3888888888888888E-2</v>
      </c>
      <c r="M31" t="s">
        <v>100</v>
      </c>
      <c r="N31" t="s">
        <v>436</v>
      </c>
      <c r="O31" s="81">
        <v>4.8611111111111112E-2</v>
      </c>
      <c r="P31" t="s">
        <v>86</v>
      </c>
      <c r="Q31" t="s">
        <v>412</v>
      </c>
      <c r="R31" s="81">
        <v>5.5555555555555552E-2</v>
      </c>
      <c r="S31" t="s">
        <v>100</v>
      </c>
      <c r="T31" t="s">
        <v>376</v>
      </c>
      <c r="U31" s="81">
        <v>9.0972222222222218E-2</v>
      </c>
      <c r="V31" t="s">
        <v>103</v>
      </c>
      <c r="W31" t="s">
        <v>343</v>
      </c>
      <c r="X31" s="81">
        <v>0.17083333333333331</v>
      </c>
      <c r="Y31" t="s">
        <v>103</v>
      </c>
      <c r="Z31" t="s">
        <v>307</v>
      </c>
      <c r="AA31" s="81">
        <v>2.0833333333333332E-2</v>
      </c>
      <c r="AB31" t="s">
        <v>100</v>
      </c>
      <c r="AC31" t="s">
        <v>286</v>
      </c>
      <c r="AD31" s="81">
        <v>0.11180555555555556</v>
      </c>
      <c r="AE31" t="s">
        <v>98</v>
      </c>
      <c r="AF31" t="s">
        <v>256</v>
      </c>
      <c r="AG31" s="81">
        <v>6.0416666666666667E-2</v>
      </c>
      <c r="AH31" t="s">
        <v>98</v>
      </c>
      <c r="AI31" s="88" t="s">
        <v>233</v>
      </c>
      <c r="AJ31" s="85">
        <v>6.9444444444444441E-3</v>
      </c>
      <c r="AK31" s="35" t="s">
        <v>100</v>
      </c>
      <c r="AL31" s="93" t="s">
        <v>161</v>
      </c>
    </row>
    <row r="32" spans="2:38" x14ac:dyDescent="0.25">
      <c r="B32" t="s">
        <v>517</v>
      </c>
      <c r="C32" s="81">
        <v>0.16666666666666666</v>
      </c>
      <c r="D32" t="s">
        <v>100</v>
      </c>
      <c r="E32" s="35" t="s">
        <v>464</v>
      </c>
      <c r="F32" s="81">
        <v>0.20833333333333334</v>
      </c>
      <c r="G32" t="s">
        <v>100</v>
      </c>
      <c r="H32" t="s">
        <v>478</v>
      </c>
      <c r="I32" s="81">
        <v>4.8611111111111112E-2</v>
      </c>
      <c r="J32" t="s">
        <v>103</v>
      </c>
      <c r="K32" t="s">
        <v>456</v>
      </c>
      <c r="L32" s="81">
        <v>2.0833333333333332E-2</v>
      </c>
      <c r="M32" t="s">
        <v>86</v>
      </c>
      <c r="N32" t="s">
        <v>437</v>
      </c>
      <c r="O32" s="81">
        <v>2.7083333333333334E-2</v>
      </c>
      <c r="P32" t="s">
        <v>103</v>
      </c>
      <c r="Q32" t="s">
        <v>397</v>
      </c>
      <c r="R32" s="81">
        <v>0.14583333333333334</v>
      </c>
      <c r="S32" t="s">
        <v>86</v>
      </c>
      <c r="T32" t="s">
        <v>377</v>
      </c>
      <c r="U32" s="81">
        <v>0.125</v>
      </c>
      <c r="V32" t="s">
        <v>86</v>
      </c>
      <c r="W32" t="s">
        <v>344</v>
      </c>
      <c r="X32" s="81">
        <v>2.7777777777777776E-2</v>
      </c>
      <c r="Y32" t="s">
        <v>100</v>
      </c>
      <c r="Z32" t="s">
        <v>308</v>
      </c>
      <c r="AA32" s="81">
        <v>0.10416666666666667</v>
      </c>
      <c r="AB32" t="s">
        <v>100</v>
      </c>
      <c r="AC32" t="s">
        <v>289</v>
      </c>
      <c r="AD32" s="81">
        <v>0.22222222222222221</v>
      </c>
      <c r="AE32" t="s">
        <v>86</v>
      </c>
      <c r="AF32" t="s">
        <v>257</v>
      </c>
      <c r="AG32" s="81">
        <v>1.3888888888888888E-2</v>
      </c>
      <c r="AH32" t="s">
        <v>98</v>
      </c>
      <c r="AI32" s="88" t="s">
        <v>219</v>
      </c>
      <c r="AJ32" s="85">
        <v>5.5555555555555552E-2</v>
      </c>
      <c r="AK32" s="35" t="s">
        <v>101</v>
      </c>
      <c r="AL32" s="93" t="s">
        <v>162</v>
      </c>
    </row>
    <row r="33" spans="2:38" x14ac:dyDescent="0.25">
      <c r="B33" t="s">
        <v>514</v>
      </c>
      <c r="C33" s="81">
        <v>0.25</v>
      </c>
      <c r="D33" t="s">
        <v>101</v>
      </c>
      <c r="E33" s="35" t="s">
        <v>498</v>
      </c>
      <c r="F33" s="81">
        <v>5.5555555555555552E-2</v>
      </c>
      <c r="G33" t="s">
        <v>100</v>
      </c>
      <c r="H33" t="s">
        <v>479</v>
      </c>
      <c r="I33" s="81">
        <v>3.8194444444444441E-2</v>
      </c>
      <c r="J33" t="s">
        <v>103</v>
      </c>
      <c r="K33" t="s">
        <v>457</v>
      </c>
      <c r="L33" s="81">
        <v>1.3888888888888888E-2</v>
      </c>
      <c r="M33" t="s">
        <v>100</v>
      </c>
      <c r="N33" t="s">
        <v>437</v>
      </c>
      <c r="O33" s="81">
        <v>0.10416666666666667</v>
      </c>
      <c r="P33" t="s">
        <v>98</v>
      </c>
      <c r="Q33" t="s">
        <v>413</v>
      </c>
      <c r="R33" s="81">
        <v>6.9444444444444441E-3</v>
      </c>
      <c r="S33" t="s">
        <v>98</v>
      </c>
      <c r="T33" t="s">
        <v>378</v>
      </c>
      <c r="U33" s="81">
        <v>8.3333333333333329E-2</v>
      </c>
      <c r="V33" t="s">
        <v>86</v>
      </c>
      <c r="W33" t="s">
        <v>345</v>
      </c>
      <c r="X33" s="81">
        <v>8.3333333333333329E-2</v>
      </c>
      <c r="Y33" t="s">
        <v>100</v>
      </c>
      <c r="Z33" t="s">
        <v>309</v>
      </c>
      <c r="AA33" s="81">
        <v>0.13194444444444445</v>
      </c>
      <c r="AB33" t="s">
        <v>86</v>
      </c>
      <c r="AC33" s="2" t="s">
        <v>233</v>
      </c>
      <c r="AD33" s="81">
        <v>3.3333333333333333E-2</v>
      </c>
      <c r="AE33" t="s">
        <v>103</v>
      </c>
      <c r="AF33" t="s">
        <v>258</v>
      </c>
      <c r="AG33" s="81">
        <v>8.7500000000000008E-2</v>
      </c>
      <c r="AH33" t="s">
        <v>103</v>
      </c>
      <c r="AI33" s="88" t="s">
        <v>220</v>
      </c>
      <c r="AJ33" s="85">
        <v>6.9444444444444441E-3</v>
      </c>
      <c r="AK33" s="35" t="s">
        <v>101</v>
      </c>
      <c r="AL33" s="93" t="s">
        <v>163</v>
      </c>
    </row>
    <row r="34" spans="2:38" x14ac:dyDescent="0.25">
      <c r="B34" t="s">
        <v>512</v>
      </c>
      <c r="C34" s="81">
        <v>2.0833333333333332E-2</v>
      </c>
      <c r="D34" t="s">
        <v>103</v>
      </c>
      <c r="E34" s="107" t="s">
        <v>499</v>
      </c>
      <c r="F34" s="81">
        <v>2.0833333333333332E-2</v>
      </c>
      <c r="G34" t="s">
        <v>86</v>
      </c>
      <c r="H34" t="s">
        <v>480</v>
      </c>
      <c r="I34" s="81">
        <v>6.25E-2</v>
      </c>
      <c r="J34" t="s">
        <v>103</v>
      </c>
      <c r="K34" t="s">
        <v>458</v>
      </c>
      <c r="L34" s="81">
        <v>1.3888888888888888E-2</v>
      </c>
      <c r="M34" t="s">
        <v>100</v>
      </c>
      <c r="N34" t="s">
        <v>438</v>
      </c>
      <c r="O34" s="81">
        <v>0.11458333333333333</v>
      </c>
      <c r="P34" t="s">
        <v>100</v>
      </c>
      <c r="Q34" t="s">
        <v>414</v>
      </c>
      <c r="R34" s="81">
        <v>4.1666666666666664E-2</v>
      </c>
      <c r="S34" t="s">
        <v>101</v>
      </c>
      <c r="T34" t="s">
        <v>358</v>
      </c>
      <c r="U34" s="81">
        <v>4.1666666666666664E-2</v>
      </c>
      <c r="V34" t="s">
        <v>86</v>
      </c>
      <c r="W34" t="s">
        <v>346</v>
      </c>
      <c r="X34" s="81">
        <v>8.3333333333333329E-2</v>
      </c>
      <c r="Y34" t="s">
        <v>100</v>
      </c>
      <c r="Z34" t="s">
        <v>310</v>
      </c>
      <c r="AA34" s="81">
        <v>6.9444444444444434E-2</v>
      </c>
      <c r="AB34" t="s">
        <v>86</v>
      </c>
      <c r="AC34" s="2" t="s">
        <v>233</v>
      </c>
      <c r="AD34" s="81">
        <v>9.0277777777777776E-2</v>
      </c>
      <c r="AE34" t="s">
        <v>100</v>
      </c>
      <c r="AF34" s="96" t="s">
        <v>259</v>
      </c>
      <c r="AI34" s="88" t="s">
        <v>221</v>
      </c>
      <c r="AJ34" s="85">
        <v>6.25E-2</v>
      </c>
      <c r="AK34" s="35" t="s">
        <v>101</v>
      </c>
      <c r="AL34" s="93" t="s">
        <v>164</v>
      </c>
    </row>
    <row r="35" spans="2:38" x14ac:dyDescent="0.25">
      <c r="B35" s="2" t="s">
        <v>233</v>
      </c>
      <c r="C35" s="81">
        <v>4.8611111111111112E-2</v>
      </c>
      <c r="D35" t="s">
        <v>103</v>
      </c>
      <c r="E35" s="35" t="s">
        <v>486</v>
      </c>
      <c r="F35" s="81">
        <v>0.125</v>
      </c>
      <c r="G35" t="s">
        <v>101</v>
      </c>
      <c r="H35" t="s">
        <v>480</v>
      </c>
      <c r="I35" s="81">
        <v>6.25E-2</v>
      </c>
      <c r="J35" t="s">
        <v>86</v>
      </c>
      <c r="K35" t="s">
        <v>459</v>
      </c>
      <c r="L35" s="81">
        <v>3.8194444444444441E-2</v>
      </c>
      <c r="M35" t="s">
        <v>103</v>
      </c>
      <c r="N35" t="s">
        <v>438</v>
      </c>
      <c r="O35" s="81">
        <v>3.125E-2</v>
      </c>
      <c r="P35" t="s">
        <v>101</v>
      </c>
      <c r="Q35" t="s">
        <v>415</v>
      </c>
      <c r="R35" s="81">
        <v>4.0972222222222222E-2</v>
      </c>
      <c r="S35" t="s">
        <v>98</v>
      </c>
      <c r="T35" t="s">
        <v>379</v>
      </c>
      <c r="U35" s="81">
        <v>0.12152777777777778</v>
      </c>
      <c r="V35" t="s">
        <v>98</v>
      </c>
      <c r="W35" t="s">
        <v>347</v>
      </c>
      <c r="X35" s="81">
        <v>2.0833333333333332E-2</v>
      </c>
      <c r="Y35" t="s">
        <v>103</v>
      </c>
      <c r="Z35" t="s">
        <v>311</v>
      </c>
      <c r="AA35" s="81">
        <v>0.16666666666666666</v>
      </c>
      <c r="AB35" t="s">
        <v>86</v>
      </c>
      <c r="AC35" s="2" t="s">
        <v>233</v>
      </c>
      <c r="AD35" s="81">
        <v>3.8194444444444441E-2</v>
      </c>
      <c r="AE35" t="s">
        <v>101</v>
      </c>
      <c r="AF35" s="97" t="s">
        <v>262</v>
      </c>
      <c r="AG35" s="81">
        <v>0.1111111111111111</v>
      </c>
      <c r="AH35" t="s">
        <v>86</v>
      </c>
      <c r="AI35" s="88" t="s">
        <v>222</v>
      </c>
      <c r="AJ35" s="85">
        <v>0.10416666666666667</v>
      </c>
      <c r="AK35" s="35" t="s">
        <v>101</v>
      </c>
      <c r="AL35" s="93" t="s">
        <v>165</v>
      </c>
    </row>
    <row r="36" spans="2:38" x14ac:dyDescent="0.25">
      <c r="B36" s="2" t="s">
        <v>233</v>
      </c>
      <c r="C36" s="81">
        <v>1.7361111111111112E-2</v>
      </c>
      <c r="D36" t="s">
        <v>86</v>
      </c>
      <c r="E36" s="35" t="s">
        <v>486</v>
      </c>
      <c r="F36" s="81">
        <v>0.125</v>
      </c>
      <c r="G36" t="s">
        <v>101</v>
      </c>
      <c r="H36" t="s">
        <v>481</v>
      </c>
      <c r="I36" s="81">
        <v>0.10416666666666667</v>
      </c>
      <c r="J36" t="s">
        <v>103</v>
      </c>
      <c r="K36" t="s">
        <v>460</v>
      </c>
      <c r="L36" s="81">
        <v>0.10694444444444444</v>
      </c>
      <c r="M36" t="s">
        <v>103</v>
      </c>
      <c r="N36" t="s">
        <v>439</v>
      </c>
      <c r="O36" s="81">
        <v>4.8611111111111112E-2</v>
      </c>
      <c r="P36" t="s">
        <v>103</v>
      </c>
      <c r="Q36" t="s">
        <v>416</v>
      </c>
      <c r="R36" s="81">
        <v>7.3611111111111113E-2</v>
      </c>
      <c r="S36" t="s">
        <v>103</v>
      </c>
      <c r="T36" t="s">
        <v>380</v>
      </c>
      <c r="U36" s="81">
        <v>1.7361111111111112E-2</v>
      </c>
      <c r="V36" t="s">
        <v>98</v>
      </c>
      <c r="W36" t="s">
        <v>350</v>
      </c>
      <c r="X36" s="81">
        <v>0.16666666666666666</v>
      </c>
      <c r="Y36" t="s">
        <v>98</v>
      </c>
      <c r="Z36" t="s">
        <v>313</v>
      </c>
      <c r="AA36" s="81">
        <v>2.7777777777777776E-2</v>
      </c>
      <c r="AB36" t="s">
        <v>86</v>
      </c>
      <c r="AC36" s="2" t="s">
        <v>233</v>
      </c>
      <c r="AD36" s="81">
        <v>2.4305555555555556E-2</v>
      </c>
      <c r="AE36" t="s">
        <v>86</v>
      </c>
      <c r="AF36" s="97" t="s">
        <v>263</v>
      </c>
      <c r="AG36" s="81">
        <v>0.13194444444444445</v>
      </c>
      <c r="AH36" t="s">
        <v>86</v>
      </c>
      <c r="AI36" s="88" t="s">
        <v>223</v>
      </c>
      <c r="AJ36" s="85">
        <v>6.25E-2</v>
      </c>
      <c r="AK36" s="35" t="s">
        <v>101</v>
      </c>
      <c r="AL36" s="93" t="s">
        <v>144</v>
      </c>
    </row>
    <row r="37" spans="2:38" x14ac:dyDescent="0.25">
      <c r="B37" s="2" t="s">
        <v>233</v>
      </c>
      <c r="C37" s="81">
        <v>6.9444444444444441E-3</v>
      </c>
      <c r="D37" t="s">
        <v>101</v>
      </c>
      <c r="H37" t="s">
        <v>482</v>
      </c>
      <c r="I37" s="81">
        <v>6.2499999999999995E-3</v>
      </c>
      <c r="J37" t="s">
        <v>103</v>
      </c>
      <c r="K37" t="s">
        <v>460</v>
      </c>
      <c r="L37" s="81">
        <v>0.11597222222222221</v>
      </c>
      <c r="M37" t="s">
        <v>86</v>
      </c>
      <c r="N37" t="s">
        <v>440</v>
      </c>
      <c r="O37" s="81">
        <v>7.9166666666666663E-2</v>
      </c>
      <c r="P37" t="s">
        <v>103</v>
      </c>
      <c r="Q37" t="s">
        <v>417</v>
      </c>
      <c r="R37" s="81">
        <v>0.1388888888888889</v>
      </c>
      <c r="S37" t="s">
        <v>100</v>
      </c>
      <c r="T37" t="s">
        <v>381</v>
      </c>
      <c r="U37" s="81">
        <v>4.1666666666666664E-2</v>
      </c>
      <c r="V37" t="s">
        <v>86</v>
      </c>
      <c r="W37" t="s">
        <v>351</v>
      </c>
      <c r="X37" s="81">
        <v>0.15625</v>
      </c>
      <c r="Y37" t="s">
        <v>98</v>
      </c>
      <c r="Z37" t="s">
        <v>322</v>
      </c>
      <c r="AA37" s="81">
        <v>0.14583333333333334</v>
      </c>
      <c r="AB37" t="s">
        <v>101</v>
      </c>
      <c r="AC37" s="35" t="s">
        <v>256</v>
      </c>
      <c r="AD37" s="81">
        <v>1.8055555555555557E-2</v>
      </c>
      <c r="AE37" t="s">
        <v>98</v>
      </c>
      <c r="AF37" s="97" t="s">
        <v>264</v>
      </c>
      <c r="AG37" s="81">
        <v>8.3333333333333329E-2</v>
      </c>
      <c r="AH37" t="s">
        <v>86</v>
      </c>
      <c r="AI37" s="88" t="s">
        <v>224</v>
      </c>
      <c r="AJ37" s="85">
        <v>0.10416666666666667</v>
      </c>
      <c r="AK37" s="35" t="s">
        <v>101</v>
      </c>
      <c r="AL37" s="93" t="s">
        <v>166</v>
      </c>
    </row>
    <row r="38" spans="2:38" x14ac:dyDescent="0.25">
      <c r="H38" t="s">
        <v>483</v>
      </c>
      <c r="I38" s="81">
        <v>6.9444444444444441E-3</v>
      </c>
      <c r="J38" t="s">
        <v>86</v>
      </c>
      <c r="K38" t="s">
        <v>461</v>
      </c>
      <c r="L38" s="81">
        <v>1.5277777777777777E-2</v>
      </c>
      <c r="M38" t="s">
        <v>98</v>
      </c>
      <c r="N38" t="s">
        <v>441</v>
      </c>
      <c r="O38" s="81">
        <v>7.2916666666666671E-2</v>
      </c>
      <c r="P38" t="s">
        <v>86</v>
      </c>
      <c r="Q38" t="s">
        <v>418</v>
      </c>
      <c r="R38" s="81">
        <v>1.3888888888888888E-2</v>
      </c>
      <c r="S38" t="s">
        <v>103</v>
      </c>
      <c r="T38" t="s">
        <v>382</v>
      </c>
      <c r="U38" s="81">
        <v>8.0555555555555561E-2</v>
      </c>
      <c r="V38" t="s">
        <v>98</v>
      </c>
      <c r="W38" t="s">
        <v>349</v>
      </c>
      <c r="X38" s="81">
        <v>3.8194444444444441E-2</v>
      </c>
      <c r="Y38" t="s">
        <v>103</v>
      </c>
      <c r="Z38" t="s">
        <v>321</v>
      </c>
      <c r="AA38" s="81">
        <v>9.7222222222222224E-2</v>
      </c>
      <c r="AB38" t="s">
        <v>98</v>
      </c>
      <c r="AF38" s="97" t="s">
        <v>266</v>
      </c>
      <c r="AG38" s="81">
        <v>2.7777777777777776E-2</v>
      </c>
      <c r="AH38" t="s">
        <v>86</v>
      </c>
      <c r="AI38" s="88" t="s">
        <v>225</v>
      </c>
      <c r="AJ38" s="85">
        <v>2.0833333333333332E-2</v>
      </c>
      <c r="AK38" s="35" t="s">
        <v>101</v>
      </c>
      <c r="AL38" s="93" t="s">
        <v>167</v>
      </c>
    </row>
    <row r="39" spans="2:38" x14ac:dyDescent="0.25">
      <c r="H39" t="s">
        <v>483</v>
      </c>
      <c r="I39" s="81">
        <v>2.0833333333333332E-2</v>
      </c>
      <c r="J39" t="s">
        <v>103</v>
      </c>
      <c r="K39" t="s">
        <v>462</v>
      </c>
      <c r="L39" s="81">
        <v>2.4999999999999998E-2</v>
      </c>
      <c r="M39" t="s">
        <v>98</v>
      </c>
      <c r="N39" t="s">
        <v>442</v>
      </c>
      <c r="O39" s="81">
        <v>0.1388888888888889</v>
      </c>
      <c r="P39" t="s">
        <v>100</v>
      </c>
      <c r="Q39" t="s">
        <v>419</v>
      </c>
      <c r="R39" s="81">
        <v>5.5555555555555552E-2</v>
      </c>
      <c r="S39" t="s">
        <v>98</v>
      </c>
      <c r="T39" t="s">
        <v>383</v>
      </c>
      <c r="U39" s="81">
        <v>4.8611111111111112E-2</v>
      </c>
      <c r="V39" t="s">
        <v>98</v>
      </c>
      <c r="W39" t="s">
        <v>352</v>
      </c>
      <c r="X39" s="81">
        <v>8.819444444444445E-2</v>
      </c>
      <c r="Y39" t="s">
        <v>103</v>
      </c>
      <c r="Z39" t="s">
        <v>320</v>
      </c>
      <c r="AA39" s="81">
        <v>0.13541666666666666</v>
      </c>
      <c r="AB39" t="s">
        <v>103</v>
      </c>
      <c r="AF39" s="97" t="s">
        <v>266</v>
      </c>
      <c r="AG39" s="81">
        <v>2.7777777777777776E-2</v>
      </c>
      <c r="AH39" t="s">
        <v>101</v>
      </c>
      <c r="AI39" s="88" t="s">
        <v>226</v>
      </c>
      <c r="AJ39" s="85">
        <v>0.16666666666666666</v>
      </c>
      <c r="AK39" s="35" t="s">
        <v>102</v>
      </c>
      <c r="AL39" s="93" t="s">
        <v>168</v>
      </c>
    </row>
    <row r="40" spans="2:38" x14ac:dyDescent="0.25">
      <c r="H40" t="s">
        <v>484</v>
      </c>
      <c r="I40" s="81">
        <v>1.3888888888888888E-2</v>
      </c>
      <c r="J40" t="s">
        <v>98</v>
      </c>
      <c r="K40" t="s">
        <v>463</v>
      </c>
      <c r="L40" s="81">
        <v>1.0416666666666666E-2</v>
      </c>
      <c r="M40" t="s">
        <v>103</v>
      </c>
      <c r="N40" s="2" t="s">
        <v>233</v>
      </c>
      <c r="O40" s="81">
        <v>3.7499999999999999E-2</v>
      </c>
      <c r="P40" t="s">
        <v>103</v>
      </c>
      <c r="Q40" t="s">
        <v>420</v>
      </c>
      <c r="R40" s="81">
        <v>1.0416666666666666E-2</v>
      </c>
      <c r="S40" t="s">
        <v>103</v>
      </c>
      <c r="T40" t="s">
        <v>384</v>
      </c>
      <c r="U40" s="81">
        <v>3.4722222222222224E-2</v>
      </c>
      <c r="V40" t="s">
        <v>86</v>
      </c>
      <c r="W40" t="s">
        <v>353</v>
      </c>
      <c r="X40" s="81">
        <v>7.6388888888888895E-2</v>
      </c>
      <c r="Y40" t="s">
        <v>103</v>
      </c>
      <c r="Z40" t="s">
        <v>314</v>
      </c>
      <c r="AA40" s="81">
        <v>2.9861111111111113E-2</v>
      </c>
      <c r="AB40" t="s">
        <v>103</v>
      </c>
      <c r="AF40" s="97" t="s">
        <v>265</v>
      </c>
      <c r="AG40" s="81">
        <v>0.11805555555555557</v>
      </c>
      <c r="AH40" t="s">
        <v>86</v>
      </c>
      <c r="AI40" s="88" t="s">
        <v>208</v>
      </c>
      <c r="AJ40" s="85">
        <v>0.1875</v>
      </c>
      <c r="AK40" s="35" t="s">
        <v>102</v>
      </c>
      <c r="AL40" s="93" t="s">
        <v>169</v>
      </c>
    </row>
    <row r="41" spans="2:38" x14ac:dyDescent="0.25">
      <c r="H41" s="2" t="s">
        <v>233</v>
      </c>
      <c r="I41" s="81">
        <v>3.6111111111111115E-2</v>
      </c>
      <c r="J41" t="s">
        <v>103</v>
      </c>
      <c r="K41" s="2" t="s">
        <v>233</v>
      </c>
      <c r="L41" s="81">
        <v>7.013888888888889E-2</v>
      </c>
      <c r="M41" t="s">
        <v>103</v>
      </c>
      <c r="N41" s="2" t="s">
        <v>233</v>
      </c>
      <c r="O41" s="81">
        <v>6.9444444444444441E-3</v>
      </c>
      <c r="P41" t="s">
        <v>86</v>
      </c>
      <c r="Q41" s="2" t="s">
        <v>233</v>
      </c>
      <c r="R41" s="81">
        <v>5.347222222222222E-2</v>
      </c>
      <c r="S41" t="s">
        <v>103</v>
      </c>
      <c r="T41" t="s">
        <v>385</v>
      </c>
      <c r="U41" s="81">
        <v>4.1666666666666664E-2</v>
      </c>
      <c r="V41" t="s">
        <v>86</v>
      </c>
      <c r="W41" s="2" t="s">
        <v>233</v>
      </c>
      <c r="X41" s="81">
        <v>8.819444444444445E-2</v>
      </c>
      <c r="Y41" t="s">
        <v>103</v>
      </c>
      <c r="Z41" t="s">
        <v>315</v>
      </c>
      <c r="AA41" s="81">
        <v>1.7361111111111112E-2</v>
      </c>
      <c r="AB41" t="s">
        <v>98</v>
      </c>
      <c r="AF41" t="s">
        <v>260</v>
      </c>
      <c r="AG41" s="81">
        <v>0.14583333333333334</v>
      </c>
      <c r="AH41" t="s">
        <v>102</v>
      </c>
      <c r="AI41" s="88" t="s">
        <v>209</v>
      </c>
      <c r="AJ41" s="85">
        <v>0.12152777777777778</v>
      </c>
      <c r="AK41" s="35" t="s">
        <v>102</v>
      </c>
      <c r="AL41" s="93" t="s">
        <v>170</v>
      </c>
    </row>
    <row r="42" spans="2:38" x14ac:dyDescent="0.25">
      <c r="H42" s="2" t="s">
        <v>233</v>
      </c>
      <c r="I42" s="81">
        <v>3.472222222222222E-3</v>
      </c>
      <c r="J42" t="s">
        <v>86</v>
      </c>
      <c r="K42" s="2" t="s">
        <v>233</v>
      </c>
      <c r="L42" s="81">
        <v>3.125E-2</v>
      </c>
      <c r="M42" t="s">
        <v>86</v>
      </c>
      <c r="N42" t="s">
        <v>443</v>
      </c>
      <c r="O42" s="81">
        <v>1.0416666666666666E-2</v>
      </c>
      <c r="P42" t="s">
        <v>86</v>
      </c>
      <c r="Q42" s="2" t="s">
        <v>233</v>
      </c>
      <c r="R42" s="81">
        <v>3.125E-2</v>
      </c>
      <c r="S42" t="s">
        <v>100</v>
      </c>
      <c r="T42" t="s">
        <v>386</v>
      </c>
      <c r="U42" s="81">
        <v>8.3333333333333329E-2</v>
      </c>
      <c r="V42" t="s">
        <v>100</v>
      </c>
      <c r="W42" s="2" t="s">
        <v>233</v>
      </c>
      <c r="X42" s="81">
        <v>5.4166666666666669E-2</v>
      </c>
      <c r="Y42" t="s">
        <v>100</v>
      </c>
      <c r="Z42" t="s">
        <v>319</v>
      </c>
      <c r="AA42" s="81">
        <v>0.10416666666666667</v>
      </c>
      <c r="AB42" t="s">
        <v>86</v>
      </c>
      <c r="AF42" s="2" t="s">
        <v>233</v>
      </c>
      <c r="AG42" s="81">
        <v>8.9583333333333334E-2</v>
      </c>
      <c r="AH42" t="s">
        <v>103</v>
      </c>
      <c r="AI42" s="88" t="s">
        <v>210</v>
      </c>
      <c r="AJ42" s="85">
        <v>9.0277777777777776E-2</v>
      </c>
      <c r="AK42" s="35" t="s">
        <v>102</v>
      </c>
      <c r="AL42" s="93" t="s">
        <v>171</v>
      </c>
    </row>
    <row r="43" spans="2:38" x14ac:dyDescent="0.25">
      <c r="H43" s="2" t="s">
        <v>485</v>
      </c>
      <c r="I43" s="81">
        <v>2.0833333333333332E-2</v>
      </c>
      <c r="J43" t="s">
        <v>86</v>
      </c>
      <c r="K43" s="35"/>
      <c r="L43" s="81"/>
      <c r="Q43" t="s">
        <v>421</v>
      </c>
      <c r="R43" s="81">
        <v>2.7777777777777776E-2</v>
      </c>
      <c r="S43" t="s">
        <v>86</v>
      </c>
      <c r="T43" t="s">
        <v>386</v>
      </c>
      <c r="U43" s="81">
        <v>0.13819444444444443</v>
      </c>
      <c r="V43" t="s">
        <v>98</v>
      </c>
      <c r="W43" s="2" t="s">
        <v>233</v>
      </c>
      <c r="X43" s="81">
        <v>2.7777777777777776E-2</v>
      </c>
      <c r="Y43" t="s">
        <v>101</v>
      </c>
      <c r="Z43" s="2" t="s">
        <v>233</v>
      </c>
      <c r="AA43" s="81">
        <v>3.472222222222222E-3</v>
      </c>
      <c r="AB43" t="s">
        <v>100</v>
      </c>
      <c r="AF43" s="2" t="s">
        <v>233</v>
      </c>
      <c r="AG43" s="81">
        <v>4.8611111111111112E-2</v>
      </c>
      <c r="AH43" t="s">
        <v>101</v>
      </c>
      <c r="AI43" s="88" t="s">
        <v>196</v>
      </c>
      <c r="AJ43" s="85">
        <v>0.17708333333333334</v>
      </c>
      <c r="AK43" s="35" t="s">
        <v>103</v>
      </c>
      <c r="AL43" s="93" t="s">
        <v>172</v>
      </c>
    </row>
    <row r="44" spans="2:38" x14ac:dyDescent="0.25">
      <c r="K44" s="35"/>
      <c r="T44" s="2" t="s">
        <v>233</v>
      </c>
      <c r="U44" s="81">
        <v>1.0416666666666666E-2</v>
      </c>
      <c r="V44" t="s">
        <v>100</v>
      </c>
      <c r="W44" s="35" t="s">
        <v>322</v>
      </c>
      <c r="X44" s="81">
        <v>0.10416666666666667</v>
      </c>
      <c r="Y44" t="s">
        <v>101</v>
      </c>
      <c r="Z44" s="2" t="s">
        <v>233</v>
      </c>
      <c r="AA44" s="81">
        <v>2.7777777777777776E-2</v>
      </c>
      <c r="AB44" t="s">
        <v>103</v>
      </c>
      <c r="AF44" s="35" t="s">
        <v>261</v>
      </c>
      <c r="AG44" s="81">
        <v>2.0833333333333332E-2</v>
      </c>
      <c r="AH44" t="s">
        <v>101</v>
      </c>
      <c r="AI44" s="88" t="s">
        <v>195</v>
      </c>
      <c r="AJ44" s="85">
        <v>2.7777777777777776E-2</v>
      </c>
      <c r="AK44" s="35" t="s">
        <v>103</v>
      </c>
      <c r="AL44" s="93" t="s">
        <v>173</v>
      </c>
    </row>
    <row r="45" spans="2:38" x14ac:dyDescent="0.25">
      <c r="T45" s="2" t="s">
        <v>233</v>
      </c>
      <c r="U45" s="81">
        <v>9.6527777777777768E-2</v>
      </c>
      <c r="V45" t="s">
        <v>103</v>
      </c>
      <c r="W45" t="s">
        <v>354</v>
      </c>
      <c r="X45" s="81">
        <v>2.7777777777777776E-2</v>
      </c>
      <c r="Y45" t="s">
        <v>86</v>
      </c>
      <c r="Z45" t="s">
        <v>316</v>
      </c>
      <c r="AA45" s="81">
        <v>4.5138888888888888E-2</v>
      </c>
      <c r="AB45" t="s">
        <v>103</v>
      </c>
      <c r="AF45" s="35" t="s">
        <v>254</v>
      </c>
      <c r="AG45" s="81">
        <v>2.0833333333333332E-2</v>
      </c>
      <c r="AH45" t="s">
        <v>101</v>
      </c>
      <c r="AI45" s="88" t="s">
        <v>227</v>
      </c>
      <c r="AJ45" s="85">
        <v>9.7916666666666666E-2</v>
      </c>
      <c r="AK45" s="35" t="s">
        <v>103</v>
      </c>
      <c r="AL45" s="93" t="s">
        <v>174</v>
      </c>
    </row>
    <row r="46" spans="2:38" x14ac:dyDescent="0.25">
      <c r="T46" t="s">
        <v>387</v>
      </c>
      <c r="U46" s="81">
        <v>7.1527777777777787E-2</v>
      </c>
      <c r="V46" t="s">
        <v>103</v>
      </c>
      <c r="Z46" t="s">
        <v>316</v>
      </c>
      <c r="AA46" s="81">
        <v>0.20902777777777778</v>
      </c>
      <c r="AB46" t="s">
        <v>98</v>
      </c>
      <c r="AF46" t="s">
        <v>255</v>
      </c>
      <c r="AG46" s="81">
        <v>7.2916666666666671E-2</v>
      </c>
      <c r="AH46" t="s">
        <v>102</v>
      </c>
      <c r="AI46" s="88" t="s">
        <v>228</v>
      </c>
      <c r="AJ46" s="85">
        <v>2.6388888888888889E-2</v>
      </c>
      <c r="AK46" s="35" t="s">
        <v>103</v>
      </c>
      <c r="AL46" s="93" t="s">
        <v>175</v>
      </c>
    </row>
    <row r="47" spans="2:38" x14ac:dyDescent="0.25">
      <c r="T47" t="s">
        <v>387</v>
      </c>
      <c r="U47" s="81">
        <v>3.4722222222222224E-2</v>
      </c>
      <c r="V47" t="s">
        <v>98</v>
      </c>
      <c r="Z47" t="s">
        <v>317</v>
      </c>
      <c r="AA47" s="81">
        <v>5.0694444444444452E-2</v>
      </c>
      <c r="AB47" t="s">
        <v>98</v>
      </c>
      <c r="AI47" s="88" t="s">
        <v>229</v>
      </c>
      <c r="AJ47" s="85">
        <v>2.4305555555555556E-2</v>
      </c>
      <c r="AK47" s="35" t="s">
        <v>103</v>
      </c>
      <c r="AL47" s="93" t="s">
        <v>176</v>
      </c>
    </row>
    <row r="48" spans="2:38" x14ac:dyDescent="0.25">
      <c r="T48" t="s">
        <v>386</v>
      </c>
      <c r="U48" s="81">
        <v>4.1666666666666664E-2</v>
      </c>
      <c r="V48" t="s">
        <v>103</v>
      </c>
      <c r="Z48" t="s">
        <v>317</v>
      </c>
      <c r="AA48" s="81">
        <v>4.1666666666666666E-3</v>
      </c>
      <c r="AB48" t="s">
        <v>103</v>
      </c>
      <c r="AI48" s="88" t="s">
        <v>230</v>
      </c>
      <c r="AJ48" s="85">
        <v>5.5555555555555552E-2</v>
      </c>
      <c r="AK48" s="35" t="s">
        <v>103</v>
      </c>
      <c r="AL48" s="93" t="s">
        <v>177</v>
      </c>
    </row>
    <row r="49" spans="26:38" x14ac:dyDescent="0.25">
      <c r="Z49" t="s">
        <v>318</v>
      </c>
      <c r="AA49" s="81">
        <v>2.7777777777777776E-2</v>
      </c>
      <c r="AB49" t="s">
        <v>86</v>
      </c>
      <c r="AI49" s="88" t="s">
        <v>231</v>
      </c>
      <c r="AJ49" s="85">
        <v>0.14930555555555555</v>
      </c>
      <c r="AK49" s="35" t="s">
        <v>103</v>
      </c>
      <c r="AL49" s="95" t="s">
        <v>178</v>
      </c>
    </row>
    <row r="50" spans="26:38" x14ac:dyDescent="0.25">
      <c r="Z50" t="s">
        <v>323</v>
      </c>
      <c r="AA50" s="81">
        <v>0.11458333333333333</v>
      </c>
      <c r="AB50" t="s">
        <v>100</v>
      </c>
      <c r="AI50" s="88" t="s">
        <v>232</v>
      </c>
      <c r="AJ50" s="85">
        <v>7.6388888888888895E-2</v>
      </c>
      <c r="AK50" s="35" t="s">
        <v>103</v>
      </c>
      <c r="AL50" s="93" t="s">
        <v>179</v>
      </c>
    </row>
  </sheetData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F26" sqref="F26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5" t="s">
        <v>76</v>
      </c>
      <c r="B1" s="2"/>
    </row>
    <row r="2" spans="1:21" x14ac:dyDescent="0.25">
      <c r="A2" s="64" t="s">
        <v>37</v>
      </c>
      <c r="B2" s="65"/>
      <c r="C2" s="66"/>
      <c r="D2" s="71" t="s">
        <v>1</v>
      </c>
      <c r="E2" s="72"/>
      <c r="F2" s="73"/>
      <c r="G2" s="71" t="s">
        <v>2</v>
      </c>
      <c r="H2" s="75"/>
      <c r="I2" s="73"/>
      <c r="J2" s="71" t="s">
        <v>3</v>
      </c>
      <c r="K2" s="75"/>
      <c r="L2" s="73"/>
      <c r="M2" s="71" t="s">
        <v>4</v>
      </c>
      <c r="N2" s="75"/>
      <c r="O2" s="73"/>
      <c r="P2" s="71" t="s">
        <v>5</v>
      </c>
      <c r="Q2" s="75"/>
      <c r="R2" s="73"/>
      <c r="S2" s="71" t="s">
        <v>6</v>
      </c>
      <c r="T2" s="75"/>
      <c r="U2" s="73"/>
    </row>
    <row r="3" spans="1:21" x14ac:dyDescent="0.25">
      <c r="A3" s="67" t="s">
        <v>77</v>
      </c>
      <c r="B3" s="48" t="s">
        <v>60</v>
      </c>
      <c r="C3" s="62" t="s">
        <v>78</v>
      </c>
      <c r="D3" s="74" t="s">
        <v>77</v>
      </c>
      <c r="E3" s="48" t="s">
        <v>60</v>
      </c>
      <c r="F3" s="63" t="s">
        <v>78</v>
      </c>
      <c r="G3" s="76" t="s">
        <v>77</v>
      </c>
      <c r="H3" s="59" t="s">
        <v>60</v>
      </c>
      <c r="I3" s="77" t="s">
        <v>78</v>
      </c>
      <c r="J3" s="76" t="s">
        <v>77</v>
      </c>
      <c r="K3" s="59" t="s">
        <v>60</v>
      </c>
      <c r="L3" s="77" t="s">
        <v>78</v>
      </c>
      <c r="M3" s="76" t="s">
        <v>77</v>
      </c>
      <c r="N3" s="59" t="s">
        <v>60</v>
      </c>
      <c r="O3" s="77" t="s">
        <v>78</v>
      </c>
      <c r="P3" s="76" t="s">
        <v>77</v>
      </c>
      <c r="Q3" s="59" t="s">
        <v>60</v>
      </c>
      <c r="R3" s="77" t="s">
        <v>78</v>
      </c>
      <c r="S3" s="76" t="s">
        <v>77</v>
      </c>
      <c r="T3" s="59" t="s">
        <v>60</v>
      </c>
      <c r="U3" s="77" t="s">
        <v>78</v>
      </c>
    </row>
    <row r="4" spans="1:21" x14ac:dyDescent="0.25">
      <c r="A4" s="68">
        <v>42482</v>
      </c>
      <c r="B4" s="49">
        <v>7.6388888888888895E-2</v>
      </c>
      <c r="C4" s="78" t="s">
        <v>79</v>
      </c>
      <c r="D4" s="68">
        <v>42493</v>
      </c>
      <c r="E4" s="49">
        <v>4.1666666666666664E-2</v>
      </c>
      <c r="F4" s="78" t="s">
        <v>79</v>
      </c>
      <c r="G4" s="68">
        <v>42500</v>
      </c>
      <c r="H4" s="49">
        <v>6.9444444444444434E-2</v>
      </c>
      <c r="I4" s="78" t="s">
        <v>79</v>
      </c>
      <c r="J4" s="82">
        <v>42507</v>
      </c>
      <c r="K4" s="83">
        <v>3.4722222222222224E-2</v>
      </c>
      <c r="L4" s="79" t="s">
        <v>79</v>
      </c>
      <c r="M4" s="68">
        <v>42514</v>
      </c>
      <c r="N4" s="49">
        <v>3.125E-2</v>
      </c>
      <c r="O4" s="78" t="s">
        <v>79</v>
      </c>
      <c r="P4" s="82">
        <v>42521</v>
      </c>
      <c r="Q4" s="56">
        <v>3.125E-2</v>
      </c>
      <c r="R4" s="84" t="s">
        <v>79</v>
      </c>
      <c r="S4" s="68">
        <v>42528</v>
      </c>
      <c r="T4" s="49">
        <v>3.125E-2</v>
      </c>
      <c r="U4" s="78" t="s">
        <v>83</v>
      </c>
    </row>
    <row r="5" spans="1:21" x14ac:dyDescent="0.25">
      <c r="A5" s="68">
        <v>42486</v>
      </c>
      <c r="B5" s="49">
        <v>4.8611111111111112E-2</v>
      </c>
      <c r="C5" s="78" t="s">
        <v>79</v>
      </c>
      <c r="D5" s="68">
        <v>42496</v>
      </c>
      <c r="E5" s="49">
        <v>4.1666666666666664E-2</v>
      </c>
      <c r="F5" s="78" t="s">
        <v>80</v>
      </c>
      <c r="G5" s="68">
        <v>42503</v>
      </c>
      <c r="H5" s="49">
        <v>3.6111111111111115E-2</v>
      </c>
      <c r="I5" s="78" t="s">
        <v>82</v>
      </c>
      <c r="J5" s="1">
        <v>42508</v>
      </c>
      <c r="K5" s="56">
        <v>5.2083333333333336E-2</v>
      </c>
      <c r="L5" s="79" t="s">
        <v>97</v>
      </c>
      <c r="M5" s="68">
        <v>42517</v>
      </c>
      <c r="N5" s="49">
        <v>2.0833333333333332E-2</v>
      </c>
      <c r="O5" s="78" t="s">
        <v>238</v>
      </c>
      <c r="P5" s="82">
        <v>42521</v>
      </c>
      <c r="Q5" s="56">
        <v>2.7777777777777776E-2</v>
      </c>
      <c r="R5" s="84" t="s">
        <v>267</v>
      </c>
      <c r="S5" s="68">
        <v>42532</v>
      </c>
      <c r="T5" s="49">
        <v>4.5138888888888888E-2</v>
      </c>
      <c r="U5" s="78" t="s">
        <v>83</v>
      </c>
    </row>
    <row r="6" spans="1:21" x14ac:dyDescent="0.25">
      <c r="A6" s="68">
        <v>42487</v>
      </c>
      <c r="B6" s="49">
        <v>4.8611111111111112E-2</v>
      </c>
      <c r="C6" s="78" t="s">
        <v>79</v>
      </c>
      <c r="D6" s="68">
        <v>42496</v>
      </c>
      <c r="E6" s="49">
        <v>2.7777777777777776E-2</v>
      </c>
      <c r="F6" s="78" t="s">
        <v>79</v>
      </c>
      <c r="G6" s="68">
        <v>42503</v>
      </c>
      <c r="H6" s="49">
        <v>3.4722222222222224E-2</v>
      </c>
      <c r="I6" s="78" t="s">
        <v>83</v>
      </c>
      <c r="J6" s="82">
        <v>42508</v>
      </c>
      <c r="K6" s="83">
        <v>2.0833333333333332E-2</v>
      </c>
      <c r="L6" s="79" t="s">
        <v>98</v>
      </c>
      <c r="M6" s="68">
        <v>42517</v>
      </c>
      <c r="N6" s="49">
        <v>2.9166666666666664E-2</v>
      </c>
      <c r="O6" s="78" t="s">
        <v>83</v>
      </c>
      <c r="P6" s="82">
        <v>42522</v>
      </c>
      <c r="Q6" s="56">
        <v>4.1666666666666664E-2</v>
      </c>
      <c r="R6" s="84" t="s">
        <v>268</v>
      </c>
      <c r="S6" s="68">
        <v>42535</v>
      </c>
      <c r="T6" s="49">
        <v>4.1666666666666664E-2</v>
      </c>
      <c r="U6" s="78" t="s">
        <v>312</v>
      </c>
    </row>
    <row r="7" spans="1:21" x14ac:dyDescent="0.25">
      <c r="A7" s="68">
        <v>42489</v>
      </c>
      <c r="B7" s="49">
        <v>7.6388888888888895E-2</v>
      </c>
      <c r="C7" s="78" t="s">
        <v>79</v>
      </c>
      <c r="D7" s="70"/>
      <c r="E7" s="49"/>
      <c r="F7" s="78"/>
      <c r="G7" s="70"/>
      <c r="H7" s="51"/>
      <c r="I7" s="78"/>
      <c r="J7" s="82">
        <v>42508</v>
      </c>
      <c r="K7" s="83">
        <v>1.0416666666666666E-2</v>
      </c>
      <c r="L7" s="84" t="s">
        <v>99</v>
      </c>
      <c r="M7" s="70"/>
      <c r="N7" s="51"/>
      <c r="O7" s="78"/>
      <c r="P7" s="1">
        <v>42524</v>
      </c>
      <c r="Q7" s="56">
        <v>2.7777777777777776E-2</v>
      </c>
      <c r="R7" s="98" t="s">
        <v>270</v>
      </c>
      <c r="S7" s="68"/>
      <c r="T7" s="49"/>
      <c r="U7" s="78"/>
    </row>
    <row r="8" spans="1:21" x14ac:dyDescent="0.25">
      <c r="A8" s="68">
        <v>42491</v>
      </c>
      <c r="B8" s="49">
        <v>4.1666666666666664E-2</v>
      </c>
      <c r="C8" s="78" t="s">
        <v>79</v>
      </c>
      <c r="D8" s="70"/>
      <c r="E8" s="51"/>
      <c r="F8" s="78"/>
      <c r="G8" s="70"/>
      <c r="H8" s="51"/>
      <c r="I8" s="78"/>
      <c r="J8" s="82">
        <v>42511</v>
      </c>
      <c r="K8" s="83">
        <v>2.0833333333333332E-2</v>
      </c>
      <c r="L8" s="79" t="s">
        <v>84</v>
      </c>
      <c r="M8" s="70"/>
      <c r="N8" s="51"/>
      <c r="O8" s="78"/>
      <c r="P8" s="68">
        <v>42524</v>
      </c>
      <c r="Q8" s="49">
        <v>1.3888888888888888E-2</v>
      </c>
      <c r="R8" s="78" t="s">
        <v>269</v>
      </c>
      <c r="S8" s="70"/>
      <c r="T8" s="51"/>
      <c r="U8" s="78"/>
    </row>
    <row r="9" spans="1:21" x14ac:dyDescent="0.25">
      <c r="A9" s="69"/>
      <c r="B9" s="60"/>
      <c r="C9" s="78"/>
      <c r="D9" s="70"/>
      <c r="E9" s="51"/>
      <c r="F9" s="78"/>
      <c r="G9" s="70"/>
      <c r="H9" s="51"/>
      <c r="I9" s="78"/>
      <c r="J9" s="70"/>
      <c r="K9" s="80"/>
      <c r="L9" s="78"/>
      <c r="M9" s="70"/>
      <c r="N9" s="51"/>
      <c r="O9" s="78"/>
      <c r="P9" s="82">
        <v>42526</v>
      </c>
      <c r="Q9" s="56">
        <v>4.1666666666666664E-2</v>
      </c>
      <c r="R9" s="84" t="s">
        <v>83</v>
      </c>
      <c r="S9" s="70"/>
      <c r="T9" s="51"/>
      <c r="U9" s="78"/>
    </row>
    <row r="10" spans="1:21" x14ac:dyDescent="0.25">
      <c r="A10" s="69"/>
      <c r="B10" s="60"/>
      <c r="C10" s="78"/>
      <c r="D10" s="70"/>
      <c r="E10" s="51"/>
      <c r="F10" s="78"/>
      <c r="G10" s="70"/>
      <c r="H10" s="51"/>
      <c r="I10" s="78"/>
      <c r="J10" s="70"/>
      <c r="K10" s="80"/>
      <c r="L10" s="78"/>
      <c r="M10" s="70"/>
      <c r="N10" s="51"/>
      <c r="O10" s="78"/>
      <c r="P10" s="70"/>
      <c r="Q10" s="51"/>
      <c r="R10" s="78"/>
      <c r="S10" s="70"/>
      <c r="T10" s="51"/>
      <c r="U10" s="78"/>
    </row>
    <row r="11" spans="1:21" ht="15.75" thickBot="1" x14ac:dyDescent="0.3">
      <c r="A11" s="69"/>
      <c r="B11" s="60"/>
      <c r="C11" s="78"/>
      <c r="D11" s="70"/>
      <c r="E11" s="51"/>
      <c r="F11" s="78"/>
      <c r="G11" s="70"/>
      <c r="H11" s="51"/>
      <c r="I11" s="78"/>
      <c r="J11" s="70"/>
      <c r="K11" s="80"/>
      <c r="L11" s="78"/>
      <c r="M11" s="70"/>
      <c r="N11" s="51"/>
      <c r="O11" s="78"/>
      <c r="P11" s="70"/>
      <c r="Q11" s="51"/>
      <c r="R11" s="78"/>
      <c r="S11" s="70"/>
      <c r="T11" s="51"/>
      <c r="U11" s="78"/>
    </row>
    <row r="12" spans="1:21" x14ac:dyDescent="0.25">
      <c r="A12" s="71" t="s">
        <v>28</v>
      </c>
      <c r="B12" s="75"/>
      <c r="C12" s="73"/>
      <c r="D12" s="71" t="s">
        <v>29</v>
      </c>
      <c r="E12" s="75"/>
      <c r="F12" s="73"/>
      <c r="G12" s="71" t="s">
        <v>30</v>
      </c>
      <c r="H12" s="75"/>
      <c r="I12" s="73"/>
      <c r="J12" s="71" t="s">
        <v>31</v>
      </c>
      <c r="K12" s="75"/>
      <c r="L12" s="73"/>
      <c r="M12" s="71" t="s">
        <v>32</v>
      </c>
      <c r="N12" s="75"/>
      <c r="O12" s="73"/>
      <c r="P12" s="71" t="s">
        <v>33</v>
      </c>
      <c r="Q12" s="75"/>
      <c r="R12" s="73"/>
      <c r="S12" s="71" t="s">
        <v>34</v>
      </c>
      <c r="T12" s="75"/>
      <c r="U12" s="73"/>
    </row>
    <row r="13" spans="1:21" x14ac:dyDescent="0.25">
      <c r="A13" s="76" t="s">
        <v>77</v>
      </c>
      <c r="B13" s="59" t="s">
        <v>60</v>
      </c>
      <c r="C13" s="77" t="s">
        <v>78</v>
      </c>
      <c r="D13" s="76" t="s">
        <v>77</v>
      </c>
      <c r="E13" s="59" t="s">
        <v>60</v>
      </c>
      <c r="F13" s="77" t="s">
        <v>78</v>
      </c>
      <c r="G13" s="76" t="s">
        <v>77</v>
      </c>
      <c r="H13" s="59" t="s">
        <v>60</v>
      </c>
      <c r="I13" s="77" t="s">
        <v>78</v>
      </c>
      <c r="J13" s="76" t="s">
        <v>77</v>
      </c>
      <c r="K13" s="59" t="s">
        <v>60</v>
      </c>
      <c r="L13" s="77" t="s">
        <v>78</v>
      </c>
      <c r="M13" s="76" t="s">
        <v>77</v>
      </c>
      <c r="N13" s="59" t="s">
        <v>60</v>
      </c>
      <c r="O13" s="77" t="s">
        <v>78</v>
      </c>
      <c r="P13" s="76" t="s">
        <v>77</v>
      </c>
      <c r="Q13" s="59" t="s">
        <v>60</v>
      </c>
      <c r="R13" s="77" t="s">
        <v>78</v>
      </c>
      <c r="S13" s="76" t="s">
        <v>77</v>
      </c>
      <c r="T13" s="59" t="s">
        <v>60</v>
      </c>
      <c r="U13" s="77" t="s">
        <v>78</v>
      </c>
    </row>
    <row r="14" spans="1:21" x14ac:dyDescent="0.25">
      <c r="A14" s="68">
        <v>42535</v>
      </c>
      <c r="B14" s="49">
        <v>3.4722222222222224E-2</v>
      </c>
      <c r="C14" s="78" t="s">
        <v>83</v>
      </c>
      <c r="D14" s="68">
        <v>42542</v>
      </c>
      <c r="E14" s="49">
        <v>2.0833333333333332E-2</v>
      </c>
      <c r="F14" s="78" t="s">
        <v>83</v>
      </c>
      <c r="G14" s="68">
        <v>42549</v>
      </c>
      <c r="H14" s="49">
        <v>2.7777777777777776E-2</v>
      </c>
      <c r="I14" s="78" t="s">
        <v>83</v>
      </c>
      <c r="J14" s="68">
        <v>42556</v>
      </c>
      <c r="K14" s="49">
        <v>2.9166666666666664E-2</v>
      </c>
      <c r="L14" s="78" t="s">
        <v>83</v>
      </c>
      <c r="M14" s="68">
        <v>42563</v>
      </c>
      <c r="N14" s="49">
        <v>4.1666666666666664E-2</v>
      </c>
      <c r="O14" s="78" t="s">
        <v>83</v>
      </c>
      <c r="P14" s="68">
        <v>42570</v>
      </c>
      <c r="Q14" s="49">
        <v>4.5138888888888888E-2</v>
      </c>
      <c r="R14" s="78" t="s">
        <v>83</v>
      </c>
      <c r="S14" s="68">
        <v>42577</v>
      </c>
      <c r="T14" s="49">
        <v>5.5555555555555552E-2</v>
      </c>
      <c r="U14" s="78" t="s">
        <v>83</v>
      </c>
    </row>
    <row r="15" spans="1:21" x14ac:dyDescent="0.25">
      <c r="A15" s="68">
        <v>42536</v>
      </c>
      <c r="B15" s="49">
        <v>8.3333333333333329E-2</v>
      </c>
      <c r="C15" s="78" t="s">
        <v>83</v>
      </c>
      <c r="D15" s="68">
        <v>42545</v>
      </c>
      <c r="E15" s="49">
        <v>8.3333333333333329E-2</v>
      </c>
      <c r="F15" s="78" t="s">
        <v>83</v>
      </c>
      <c r="G15" s="68">
        <v>42552</v>
      </c>
      <c r="H15" s="49">
        <v>2.0833333333333332E-2</v>
      </c>
      <c r="I15" s="78" t="s">
        <v>269</v>
      </c>
      <c r="J15" s="68">
        <v>42556</v>
      </c>
      <c r="K15" s="49">
        <v>4.1666666666666664E-2</v>
      </c>
      <c r="L15" s="78" t="s">
        <v>83</v>
      </c>
      <c r="M15" s="68">
        <v>42566</v>
      </c>
      <c r="N15" s="49">
        <v>3.4722222222222224E-2</v>
      </c>
      <c r="O15" s="78" t="s">
        <v>83</v>
      </c>
      <c r="P15" s="68">
        <v>42573</v>
      </c>
      <c r="Q15" s="49">
        <v>2.7777777777777776E-2</v>
      </c>
      <c r="R15" s="78" t="s">
        <v>80</v>
      </c>
      <c r="S15" s="70"/>
      <c r="T15" s="51"/>
      <c r="U15" s="78"/>
    </row>
    <row r="16" spans="1:21" x14ac:dyDescent="0.25">
      <c r="A16" s="68">
        <v>42538</v>
      </c>
      <c r="B16" s="49">
        <v>8.3333333333333329E-2</v>
      </c>
      <c r="C16" s="78" t="s">
        <v>83</v>
      </c>
      <c r="D16" s="70"/>
      <c r="E16" s="51"/>
      <c r="F16" s="78"/>
      <c r="G16" s="68">
        <v>42552</v>
      </c>
      <c r="H16" s="49">
        <v>2.7777777777777776E-2</v>
      </c>
      <c r="I16" s="78" t="s">
        <v>396</v>
      </c>
      <c r="J16" s="68">
        <v>42559</v>
      </c>
      <c r="K16" s="49">
        <v>4.8611111111111112E-2</v>
      </c>
      <c r="L16" s="78" t="s">
        <v>83</v>
      </c>
      <c r="M16" s="70"/>
      <c r="N16" s="51"/>
      <c r="O16" s="78"/>
      <c r="P16" s="70"/>
      <c r="Q16" s="51"/>
      <c r="R16" s="78"/>
      <c r="S16" s="70"/>
      <c r="T16" s="51"/>
      <c r="U16" s="78"/>
    </row>
    <row r="17" spans="1:21" x14ac:dyDescent="0.25">
      <c r="A17" s="68">
        <v>42542</v>
      </c>
      <c r="B17" s="49">
        <v>3.125E-2</v>
      </c>
      <c r="C17" s="78" t="s">
        <v>348</v>
      </c>
      <c r="D17" s="70"/>
      <c r="E17" s="51"/>
      <c r="F17" s="78"/>
      <c r="G17" s="68">
        <v>42552</v>
      </c>
      <c r="H17" s="49">
        <v>6.25E-2</v>
      </c>
      <c r="I17" s="78" t="s">
        <v>268</v>
      </c>
      <c r="J17" s="70"/>
      <c r="K17" s="51"/>
      <c r="L17" s="78"/>
      <c r="M17" s="70"/>
      <c r="N17" s="51"/>
      <c r="O17" s="78"/>
      <c r="P17" s="70"/>
      <c r="Q17" s="51"/>
      <c r="R17" s="78"/>
      <c r="S17" s="70"/>
      <c r="T17" s="51"/>
      <c r="U17" s="78"/>
    </row>
    <row r="18" spans="1:21" x14ac:dyDescent="0.25">
      <c r="A18" s="70"/>
      <c r="B18" s="51"/>
      <c r="C18" s="78"/>
      <c r="D18" s="70"/>
      <c r="E18" s="51"/>
      <c r="F18" s="78"/>
      <c r="G18" s="70"/>
      <c r="H18" s="51"/>
      <c r="I18" s="78"/>
      <c r="J18" s="70"/>
      <c r="K18" s="51"/>
      <c r="L18" s="78"/>
      <c r="M18" s="70"/>
      <c r="N18" s="51"/>
      <c r="O18" s="78"/>
      <c r="P18" s="70"/>
      <c r="Q18" s="51"/>
      <c r="R18" s="78"/>
      <c r="S18" s="70"/>
      <c r="T18" s="51"/>
      <c r="U18" s="78"/>
    </row>
    <row r="19" spans="1:21" x14ac:dyDescent="0.25">
      <c r="A19" s="70"/>
      <c r="B19" s="51"/>
      <c r="C19" s="78"/>
      <c r="D19" s="70"/>
      <c r="E19" s="51"/>
      <c r="F19" s="78"/>
      <c r="G19" s="70"/>
      <c r="H19" s="51"/>
      <c r="I19" s="78"/>
      <c r="J19" s="70"/>
      <c r="K19" s="51"/>
      <c r="L19" s="78"/>
      <c r="M19" s="70"/>
      <c r="N19" s="51"/>
      <c r="O19" s="78"/>
      <c r="P19" s="70"/>
      <c r="Q19" s="51"/>
      <c r="R19" s="78"/>
      <c r="S19" s="70"/>
      <c r="T19" s="51"/>
      <c r="U19" s="78"/>
    </row>
    <row r="20" spans="1:21" x14ac:dyDescent="0.25">
      <c r="A20" s="70"/>
      <c r="B20" s="51"/>
      <c r="C20" s="78"/>
      <c r="D20" s="70"/>
      <c r="E20" s="51"/>
      <c r="F20" s="78"/>
      <c r="G20" s="70"/>
      <c r="H20" s="51"/>
      <c r="I20" s="78"/>
      <c r="J20" s="70"/>
      <c r="K20" s="51"/>
      <c r="L20" s="78"/>
      <c r="M20" s="70"/>
      <c r="N20" s="51"/>
      <c r="O20" s="78"/>
      <c r="P20" s="70"/>
      <c r="Q20" s="51"/>
      <c r="R20" s="78"/>
      <c r="S20" s="70"/>
      <c r="T20" s="51"/>
      <c r="U20" s="78"/>
    </row>
    <row r="21" spans="1:21" ht="15.75" thickBot="1" x14ac:dyDescent="0.3">
      <c r="A21" s="70"/>
      <c r="B21" s="51"/>
      <c r="C21" s="78"/>
      <c r="D21" s="70"/>
      <c r="E21" s="51"/>
      <c r="F21" s="78"/>
      <c r="G21" s="70"/>
      <c r="H21" s="51"/>
      <c r="I21" s="78"/>
      <c r="J21" s="70"/>
      <c r="K21" s="51"/>
      <c r="L21" s="78"/>
      <c r="M21" s="70"/>
      <c r="N21" s="51"/>
      <c r="O21" s="78"/>
      <c r="P21" s="70"/>
      <c r="Q21" s="51"/>
      <c r="R21" s="78"/>
      <c r="S21" s="70"/>
      <c r="T21" s="51"/>
      <c r="U21" s="78"/>
    </row>
    <row r="22" spans="1:21" x14ac:dyDescent="0.25">
      <c r="A22" s="71" t="s">
        <v>392</v>
      </c>
      <c r="B22" s="75"/>
      <c r="C22" s="73"/>
      <c r="D22" s="71" t="s">
        <v>393</v>
      </c>
      <c r="E22" s="75"/>
      <c r="F22" s="73"/>
      <c r="G22" s="71" t="s">
        <v>394</v>
      </c>
      <c r="H22" s="75"/>
      <c r="I22" s="73"/>
    </row>
    <row r="23" spans="1:21" x14ac:dyDescent="0.25">
      <c r="A23" s="76" t="s">
        <v>77</v>
      </c>
      <c r="B23" s="59" t="s">
        <v>60</v>
      </c>
      <c r="C23" s="77" t="s">
        <v>78</v>
      </c>
      <c r="D23" s="76" t="s">
        <v>77</v>
      </c>
      <c r="E23" s="59" t="s">
        <v>60</v>
      </c>
      <c r="F23" s="77" t="s">
        <v>78</v>
      </c>
      <c r="G23" s="76" t="s">
        <v>77</v>
      </c>
      <c r="H23" s="59" t="s">
        <v>60</v>
      </c>
      <c r="I23" s="77" t="s">
        <v>78</v>
      </c>
    </row>
    <row r="24" spans="1:21" x14ac:dyDescent="0.25">
      <c r="A24" s="68">
        <v>42584</v>
      </c>
      <c r="B24" s="49">
        <v>3.4722222222222224E-2</v>
      </c>
      <c r="C24" s="78" t="s">
        <v>83</v>
      </c>
      <c r="D24" s="68">
        <v>42591</v>
      </c>
      <c r="E24" s="49">
        <v>5.5555555555555552E-2</v>
      </c>
      <c r="F24" s="78" t="s">
        <v>83</v>
      </c>
      <c r="G24" s="68"/>
      <c r="H24" s="49"/>
      <c r="I24" s="78"/>
    </row>
    <row r="25" spans="1:21" x14ac:dyDescent="0.25">
      <c r="A25" s="68">
        <v>42585</v>
      </c>
      <c r="B25" s="49">
        <v>5.5555555555555552E-2</v>
      </c>
      <c r="C25" s="78" t="s">
        <v>267</v>
      </c>
      <c r="D25" s="68">
        <v>42591</v>
      </c>
      <c r="E25" s="49">
        <v>4.1666666666666664E-2</v>
      </c>
      <c r="F25" s="78" t="s">
        <v>267</v>
      </c>
      <c r="G25" s="70"/>
      <c r="H25" s="51"/>
      <c r="I25" s="78"/>
    </row>
    <row r="26" spans="1:21" x14ac:dyDescent="0.25">
      <c r="A26" s="68"/>
      <c r="B26" s="49"/>
      <c r="C26" s="78"/>
      <c r="D26" s="68">
        <v>42592</v>
      </c>
      <c r="E26" s="49">
        <v>8.3333333333333329E-2</v>
      </c>
      <c r="F26" s="78" t="s">
        <v>83</v>
      </c>
      <c r="G26" s="70"/>
      <c r="H26" s="51"/>
      <c r="I26" s="78"/>
    </row>
    <row r="27" spans="1:21" x14ac:dyDescent="0.25">
      <c r="A27" s="70"/>
      <c r="B27" s="51"/>
      <c r="C27" s="78"/>
      <c r="D27" s="70"/>
      <c r="E27" s="51"/>
      <c r="F27" s="78"/>
      <c r="G27" s="70"/>
      <c r="H27" s="51"/>
      <c r="I27" s="78"/>
    </row>
    <row r="28" spans="1:21" x14ac:dyDescent="0.25">
      <c r="A28" s="70"/>
      <c r="B28" s="51"/>
      <c r="C28" s="78"/>
      <c r="D28" s="70"/>
      <c r="E28" s="51"/>
      <c r="F28" s="78"/>
      <c r="G28" s="70"/>
      <c r="H28" s="51"/>
      <c r="I28" s="78"/>
    </row>
    <row r="29" spans="1:21" x14ac:dyDescent="0.25">
      <c r="A29" s="70"/>
      <c r="B29" s="51"/>
      <c r="C29" s="78"/>
      <c r="D29" s="70"/>
      <c r="E29" s="51"/>
      <c r="F29" s="78"/>
      <c r="G29" s="70"/>
      <c r="H29" s="51"/>
      <c r="I29" s="78"/>
    </row>
    <row r="30" spans="1:21" x14ac:dyDescent="0.25">
      <c r="A30" s="70"/>
      <c r="B30" s="51"/>
      <c r="C30" s="78"/>
      <c r="D30" s="70"/>
      <c r="E30" s="51"/>
      <c r="F30" s="78"/>
      <c r="G30" s="70"/>
      <c r="H30" s="51"/>
      <c r="I30" s="78"/>
    </row>
    <row r="31" spans="1:21" x14ac:dyDescent="0.25">
      <c r="A31" s="70"/>
      <c r="B31" s="51"/>
      <c r="C31" s="78"/>
      <c r="D31" s="70"/>
      <c r="E31" s="51"/>
      <c r="F31" s="78"/>
      <c r="G31" s="70"/>
      <c r="H31" s="51"/>
      <c r="I31" s="78"/>
    </row>
    <row r="38" spans="15:15" x14ac:dyDescent="0.25">
      <c r="O38" s="6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AN39"/>
  <sheetViews>
    <sheetView zoomScaleNormal="100" workbookViewId="0">
      <selection activeCell="L8" sqref="L8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40" ht="26.25" x14ac:dyDescent="0.4">
      <c r="A1" s="190" t="s">
        <v>49</v>
      </c>
      <c r="B1" s="190"/>
      <c r="C1" s="190"/>
      <c r="K1" s="50" t="s">
        <v>56</v>
      </c>
      <c r="L1" s="2"/>
    </row>
    <row r="3" spans="1:40" x14ac:dyDescent="0.25">
      <c r="B3" s="20"/>
      <c r="C3" s="17" t="s">
        <v>57</v>
      </c>
      <c r="D3" s="17" t="s">
        <v>45</v>
      </c>
      <c r="E3" s="17" t="s">
        <v>58</v>
      </c>
      <c r="F3" s="42" t="s">
        <v>46</v>
      </c>
      <c r="G3" s="44" t="s">
        <v>55</v>
      </c>
      <c r="H3" s="43" t="s">
        <v>47</v>
      </c>
      <c r="I3" s="23" t="s">
        <v>43</v>
      </c>
      <c r="K3" s="57" t="s">
        <v>392</v>
      </c>
      <c r="L3" s="57"/>
      <c r="M3" s="57" t="s">
        <v>34</v>
      </c>
      <c r="N3" s="57"/>
      <c r="O3" s="57" t="s">
        <v>33</v>
      </c>
      <c r="P3" s="57"/>
      <c r="Q3" s="57" t="s">
        <v>32</v>
      </c>
      <c r="R3" s="57"/>
      <c r="S3" s="57" t="s">
        <v>31</v>
      </c>
      <c r="T3" s="57"/>
      <c r="U3" s="57" t="s">
        <v>30</v>
      </c>
      <c r="V3" s="57"/>
      <c r="W3" s="57" t="s">
        <v>29</v>
      </c>
      <c r="X3" s="57"/>
      <c r="Y3" s="57" t="s">
        <v>28</v>
      </c>
      <c r="Z3" s="57"/>
      <c r="AA3" s="57" t="s">
        <v>6</v>
      </c>
      <c r="AB3" s="57"/>
      <c r="AC3" s="57" t="s">
        <v>5</v>
      </c>
      <c r="AD3" s="57"/>
      <c r="AE3" s="57" t="s">
        <v>4</v>
      </c>
      <c r="AF3" s="57"/>
      <c r="AG3" s="57" t="s">
        <v>3</v>
      </c>
      <c r="AH3" s="57"/>
      <c r="AI3" s="57" t="s">
        <v>2</v>
      </c>
      <c r="AJ3" s="57"/>
      <c r="AK3" s="57" t="s">
        <v>1</v>
      </c>
      <c r="AL3" s="57"/>
      <c r="AM3" s="54" t="s">
        <v>37</v>
      </c>
      <c r="AN3" s="54"/>
    </row>
    <row r="4" spans="1:40" x14ac:dyDescent="0.25">
      <c r="B4" s="196" t="s">
        <v>37</v>
      </c>
      <c r="C4" s="186">
        <f>SUMIF(AM:AM,"*[Implementierung]*",AN:AN)</f>
        <v>0</v>
      </c>
      <c r="D4" s="186">
        <f>SUMIF(AM:AM,"*[Testen]*",AN:AN)</f>
        <v>0</v>
      </c>
      <c r="E4" s="186">
        <f>SUMIF(AM:AM,"*[Entwurf]*",AN:AN)</f>
        <v>0</v>
      </c>
      <c r="F4" s="186">
        <f>SUMIF(AM:AM,"*[Recherche]*",AN:AN)</f>
        <v>8.3333333333333329E-2</v>
      </c>
      <c r="G4" s="186">
        <f>SUMIF(AM:AM,"*[Organisation]*",AN:AN)</f>
        <v>0.29166666666666663</v>
      </c>
      <c r="H4" s="186">
        <f>SUMIF(Meetings!C4:C11,"*Pellekoorne*",Meetings!B4:B11)</f>
        <v>0.29166666666666669</v>
      </c>
      <c r="I4" s="194">
        <f>SUM(C4:H5)</f>
        <v>0.66666666666666663</v>
      </c>
      <c r="K4" s="55" t="s">
        <v>59</v>
      </c>
      <c r="L4" s="53" t="s">
        <v>60</v>
      </c>
      <c r="M4" s="55" t="s">
        <v>59</v>
      </c>
      <c r="N4" s="53" t="s">
        <v>60</v>
      </c>
      <c r="O4" s="55" t="s">
        <v>59</v>
      </c>
      <c r="P4" s="53" t="s">
        <v>60</v>
      </c>
      <c r="Q4" s="55" t="s">
        <v>59</v>
      </c>
      <c r="R4" s="53" t="s">
        <v>60</v>
      </c>
      <c r="S4" s="55" t="s">
        <v>59</v>
      </c>
      <c r="T4" s="53" t="s">
        <v>60</v>
      </c>
      <c r="U4" s="55" t="s">
        <v>59</v>
      </c>
      <c r="V4" s="53" t="s">
        <v>60</v>
      </c>
      <c r="W4" s="55" t="s">
        <v>59</v>
      </c>
      <c r="X4" s="53" t="s">
        <v>60</v>
      </c>
      <c r="Y4" s="55" t="s">
        <v>59</v>
      </c>
      <c r="Z4" s="53" t="s">
        <v>60</v>
      </c>
      <c r="AA4" s="55" t="s">
        <v>59</v>
      </c>
      <c r="AB4" s="53" t="s">
        <v>60</v>
      </c>
      <c r="AC4" s="55" t="s">
        <v>59</v>
      </c>
      <c r="AD4" s="53" t="s">
        <v>60</v>
      </c>
      <c r="AE4" s="55" t="s">
        <v>59</v>
      </c>
      <c r="AF4" s="53" t="s">
        <v>60</v>
      </c>
      <c r="AG4" s="55" t="s">
        <v>59</v>
      </c>
      <c r="AH4" s="53" t="s">
        <v>60</v>
      </c>
      <c r="AI4" s="55" t="s">
        <v>59</v>
      </c>
      <c r="AJ4" s="53" t="s">
        <v>60</v>
      </c>
      <c r="AK4" s="55" t="s">
        <v>59</v>
      </c>
      <c r="AL4" s="53" t="s">
        <v>60</v>
      </c>
      <c r="AM4" s="55" t="s">
        <v>59</v>
      </c>
      <c r="AN4" s="53" t="s">
        <v>60</v>
      </c>
    </row>
    <row r="5" spans="1:40" x14ac:dyDescent="0.25">
      <c r="B5" s="197"/>
      <c r="C5" s="186"/>
      <c r="D5" s="186"/>
      <c r="E5" s="186"/>
      <c r="F5" s="186"/>
      <c r="G5" s="186"/>
      <c r="H5" s="186"/>
      <c r="I5" s="194"/>
      <c r="K5" t="s">
        <v>473</v>
      </c>
      <c r="L5" s="81">
        <v>4.8611111111111112E-2</v>
      </c>
      <c r="M5" t="s">
        <v>358</v>
      </c>
      <c r="N5" s="81">
        <v>2.0833333333333332E-2</v>
      </c>
      <c r="O5" t="s">
        <v>358</v>
      </c>
      <c r="P5" s="81">
        <v>2.7777777777777776E-2</v>
      </c>
      <c r="Q5" t="s">
        <v>444</v>
      </c>
      <c r="R5" s="81">
        <v>4.1666666666666664E-2</v>
      </c>
      <c r="S5" t="s">
        <v>358</v>
      </c>
      <c r="T5" s="81">
        <v>0.10416666666666667</v>
      </c>
      <c r="U5" t="s">
        <v>408</v>
      </c>
      <c r="V5" s="81">
        <v>9.7222222222222224E-2</v>
      </c>
      <c r="W5" t="s">
        <v>355</v>
      </c>
      <c r="X5" s="81">
        <v>2.7777777777777776E-2</v>
      </c>
      <c r="Y5" t="s">
        <v>311</v>
      </c>
      <c r="Z5" s="81">
        <v>3.4722222222222224E-2</v>
      </c>
      <c r="AA5" t="s">
        <v>305</v>
      </c>
      <c r="AB5" s="81">
        <v>0.11805555555555557</v>
      </c>
      <c r="AC5" t="s">
        <v>259</v>
      </c>
      <c r="AD5" s="81">
        <v>2.0833333333333332E-2</v>
      </c>
      <c r="AE5" t="s">
        <v>92</v>
      </c>
      <c r="AF5" s="81">
        <v>4.1666666666666664E-2</v>
      </c>
      <c r="AG5" t="s">
        <v>198</v>
      </c>
      <c r="AH5" s="81">
        <v>0.13194444444444445</v>
      </c>
      <c r="AI5" t="s">
        <v>139</v>
      </c>
      <c r="AJ5" s="81">
        <v>0.13194444444444445</v>
      </c>
      <c r="AK5" t="s">
        <v>87</v>
      </c>
      <c r="AL5" s="81">
        <v>1.7361111111111112E-2</v>
      </c>
      <c r="AM5" s="2" t="s">
        <v>61</v>
      </c>
      <c r="AN5" s="85">
        <v>8.3333333333333329E-2</v>
      </c>
    </row>
    <row r="6" spans="1:40" x14ac:dyDescent="0.25">
      <c r="B6" s="198" t="s">
        <v>1</v>
      </c>
      <c r="C6" s="193">
        <f>SUMIF(AK:AK,"*[Implementierung]*",AL:AL)</f>
        <v>0</v>
      </c>
      <c r="D6" s="193">
        <f>SUMIF(AK:AK,"*[Testen]*",AL:AL)</f>
        <v>0</v>
      </c>
      <c r="E6" s="193">
        <f>SUMIF(AK:AK,"*[Entwurf]*",AL:AL)</f>
        <v>6.25E-2</v>
      </c>
      <c r="F6" s="193">
        <f>SUMIF(AK:AK,"*[Recherche]*",AL:AL)</f>
        <v>0</v>
      </c>
      <c r="G6" s="193">
        <f>SUMIF(AK:AK,"*[Organisation]*",AL:AL)</f>
        <v>0.69097222222222221</v>
      </c>
      <c r="H6" s="193">
        <f>SUMIF(Meetings!F4:F11,"*Pellekoorne*",Meetings!E4:E11)</f>
        <v>0.1111111111111111</v>
      </c>
      <c r="I6" s="194">
        <f>SUM(C6:H7)</f>
        <v>0.86458333333333326</v>
      </c>
      <c r="K6" t="s">
        <v>502</v>
      </c>
      <c r="L6" s="81">
        <v>4.1666666666666664E-2</v>
      </c>
      <c r="M6" t="s">
        <v>473</v>
      </c>
      <c r="N6" s="81">
        <v>0.1388888888888889</v>
      </c>
      <c r="O6" t="s">
        <v>471</v>
      </c>
      <c r="P6" s="81">
        <v>7.3611111111111113E-2</v>
      </c>
      <c r="Q6" t="s">
        <v>445</v>
      </c>
      <c r="R6" s="81">
        <v>0.15277777777777776</v>
      </c>
      <c r="S6" t="s">
        <v>423</v>
      </c>
      <c r="T6" s="81">
        <v>5.2083333333333336E-2</v>
      </c>
      <c r="U6" t="s">
        <v>407</v>
      </c>
      <c r="V6" s="81">
        <v>9.7222222222222224E-2</v>
      </c>
      <c r="W6" t="s">
        <v>356</v>
      </c>
      <c r="X6" s="81">
        <v>2.0833333333333332E-2</v>
      </c>
      <c r="Y6" t="s">
        <v>319</v>
      </c>
      <c r="Z6" s="81">
        <v>0.21180555555555555</v>
      </c>
      <c r="AA6" t="s">
        <v>309</v>
      </c>
      <c r="AB6" s="81">
        <v>0.13194444444444445</v>
      </c>
      <c r="AC6" t="s">
        <v>281</v>
      </c>
      <c r="AD6" s="81">
        <v>4.1666666666666664E-2</v>
      </c>
      <c r="AE6" t="s">
        <v>245</v>
      </c>
      <c r="AF6" s="81">
        <v>7.6388888888888895E-2</v>
      </c>
      <c r="AG6" t="s">
        <v>199</v>
      </c>
      <c r="AH6" s="81">
        <v>9.0277777777777776E-2</v>
      </c>
      <c r="AI6" t="s">
        <v>140</v>
      </c>
      <c r="AJ6" s="81">
        <v>9.0277777777777776E-2</v>
      </c>
      <c r="AK6" t="s">
        <v>88</v>
      </c>
      <c r="AL6" s="81">
        <v>6.25E-2</v>
      </c>
      <c r="AM6" s="2" t="s">
        <v>62</v>
      </c>
      <c r="AN6" s="85">
        <v>0.16666666666666666</v>
      </c>
    </row>
    <row r="7" spans="1:40" x14ac:dyDescent="0.25">
      <c r="B7" s="198"/>
      <c r="C7" s="193"/>
      <c r="D7" s="193"/>
      <c r="E7" s="193"/>
      <c r="F7" s="193"/>
      <c r="G7" s="193"/>
      <c r="H7" s="193"/>
      <c r="I7" s="194"/>
      <c r="K7" t="s">
        <v>506</v>
      </c>
      <c r="L7" s="81">
        <v>1.0416666666666666E-2</v>
      </c>
      <c r="M7" t="s">
        <v>471</v>
      </c>
      <c r="N7" s="81">
        <v>2.7777777777777776E-2</v>
      </c>
      <c r="O7" t="s">
        <v>473</v>
      </c>
      <c r="P7" s="81">
        <v>5.1388888888888894E-2</v>
      </c>
      <c r="Q7" t="s">
        <v>446</v>
      </c>
      <c r="R7" s="81">
        <v>6.25E-2</v>
      </c>
      <c r="S7" t="s">
        <v>427</v>
      </c>
      <c r="T7" s="81">
        <v>0.14583333333333334</v>
      </c>
      <c r="U7" t="s">
        <v>409</v>
      </c>
      <c r="V7" s="81">
        <v>6.25E-2</v>
      </c>
      <c r="W7" t="s">
        <v>357</v>
      </c>
      <c r="X7" s="81">
        <v>2.0833333333333332E-2</v>
      </c>
      <c r="Y7" t="s">
        <v>328</v>
      </c>
      <c r="Z7" s="81">
        <v>2.0833333333333332E-2</v>
      </c>
      <c r="AA7" t="s">
        <v>310</v>
      </c>
      <c r="AB7" s="81">
        <v>6.9444444444444434E-2</v>
      </c>
      <c r="AC7" t="s">
        <v>282</v>
      </c>
      <c r="AD7" s="81">
        <v>4.8611111111111112E-2</v>
      </c>
      <c r="AE7" t="s">
        <v>139</v>
      </c>
      <c r="AF7" s="81">
        <v>9.0277777777777776E-2</v>
      </c>
      <c r="AG7" t="s">
        <v>200</v>
      </c>
      <c r="AH7" s="81">
        <v>0.17361111111111113</v>
      </c>
      <c r="AI7" s="81" t="s">
        <v>141</v>
      </c>
      <c r="AJ7" s="81">
        <v>0.10416666666666667</v>
      </c>
      <c r="AK7" t="s">
        <v>89</v>
      </c>
      <c r="AL7" s="81">
        <v>6.5972222222222224E-2</v>
      </c>
      <c r="AM7" s="2" t="s">
        <v>63</v>
      </c>
      <c r="AN7" s="85">
        <v>0.125</v>
      </c>
    </row>
    <row r="8" spans="1:40" x14ac:dyDescent="0.25">
      <c r="B8" s="198" t="s">
        <v>2</v>
      </c>
      <c r="C8" s="193">
        <f>SUMIF(AI:AI,"*[Implementierung]*",AJ:AJ)</f>
        <v>1.0416666666666666E-2</v>
      </c>
      <c r="D8" s="193">
        <f>SUMIF(AI:AI,"*[Testen]*",AJ:AJ)</f>
        <v>0</v>
      </c>
      <c r="E8" s="193">
        <f>SUMIF(AI:AI,"*[Entwurf]*",AJ:AJ)</f>
        <v>0</v>
      </c>
      <c r="F8" s="193">
        <f>SUMIF(AI:AI,"*[Recherche]*",AJ:AJ)</f>
        <v>0</v>
      </c>
      <c r="G8" s="193">
        <f>SUMIF(AI:AI,"*[Organisation]*",AJ:AJ)</f>
        <v>0.54166666666666674</v>
      </c>
      <c r="H8" s="193">
        <f>SUMIF(Meetings!I4:I11,"*Pellekoorne*",Meetings!H4:H11)</f>
        <v>0.14027777777777778</v>
      </c>
      <c r="I8" s="194">
        <f>SUM(C8:H9)</f>
        <v>0.6923611111111112</v>
      </c>
      <c r="K8" t="s">
        <v>514</v>
      </c>
      <c r="L8" s="81">
        <v>0.1388888888888889</v>
      </c>
      <c r="M8" t="s">
        <v>489</v>
      </c>
      <c r="N8" s="81">
        <v>1.3888888888888888E-2</v>
      </c>
      <c r="O8" t="s">
        <v>480</v>
      </c>
      <c r="P8" s="81">
        <v>6.25E-2</v>
      </c>
      <c r="Q8" t="s">
        <v>398</v>
      </c>
      <c r="R8" s="81">
        <v>2.7777777777777776E-2</v>
      </c>
      <c r="S8" t="s">
        <v>428</v>
      </c>
      <c r="T8" s="81">
        <v>0.10416666666666667</v>
      </c>
      <c r="U8" t="s">
        <v>398</v>
      </c>
      <c r="V8" s="81">
        <v>0.16666666666666666</v>
      </c>
      <c r="W8" t="s">
        <v>377</v>
      </c>
      <c r="X8" s="81">
        <v>0.125</v>
      </c>
      <c r="Y8" t="s">
        <v>331</v>
      </c>
      <c r="Z8" s="81">
        <v>4.1666666666666664E-2</v>
      </c>
      <c r="AA8" t="s">
        <v>311</v>
      </c>
      <c r="AB8" s="81">
        <v>0.16666666666666666</v>
      </c>
      <c r="AC8" t="s">
        <v>289</v>
      </c>
      <c r="AD8" s="81">
        <v>0.22222222222222221</v>
      </c>
      <c r="AE8" s="97" t="s">
        <v>262</v>
      </c>
      <c r="AF8" s="81">
        <v>0.1111111111111111</v>
      </c>
      <c r="AG8" t="s">
        <v>201</v>
      </c>
      <c r="AH8" s="81">
        <v>2.0833333333333332E-2</v>
      </c>
      <c r="AI8" t="s">
        <v>142</v>
      </c>
      <c r="AJ8" s="81">
        <v>0.13194444444444445</v>
      </c>
      <c r="AK8" t="s">
        <v>90</v>
      </c>
      <c r="AL8" s="81">
        <v>1.7361111111111112E-2</v>
      </c>
    </row>
    <row r="9" spans="1:40" x14ac:dyDescent="0.25">
      <c r="B9" s="198"/>
      <c r="C9" s="193"/>
      <c r="D9" s="193"/>
      <c r="E9" s="193"/>
      <c r="F9" s="193"/>
      <c r="G9" s="193"/>
      <c r="H9" s="193"/>
      <c r="I9" s="194"/>
      <c r="K9" t="s">
        <v>515</v>
      </c>
      <c r="L9" s="81">
        <v>0.11805555555555557</v>
      </c>
      <c r="M9" t="s">
        <v>492</v>
      </c>
      <c r="N9" s="81">
        <v>6.9444444444444441E-3</v>
      </c>
      <c r="O9" t="s">
        <v>483</v>
      </c>
      <c r="P9" s="81">
        <v>6.9444444444444441E-3</v>
      </c>
      <c r="Q9" t="s">
        <v>385</v>
      </c>
      <c r="R9" s="81">
        <v>6.9444444444444434E-2</v>
      </c>
      <c r="S9" t="s">
        <v>429</v>
      </c>
      <c r="T9" s="81">
        <v>8.3333333333333329E-2</v>
      </c>
      <c r="U9" t="s">
        <v>376</v>
      </c>
      <c r="V9" s="81">
        <v>2.0833333333333332E-2</v>
      </c>
      <c r="W9" t="s">
        <v>378</v>
      </c>
      <c r="X9" s="81">
        <v>8.3333333333333329E-2</v>
      </c>
      <c r="Y9" t="s">
        <v>332</v>
      </c>
      <c r="Z9" s="81">
        <v>0.11805555555555557</v>
      </c>
      <c r="AA9" t="s">
        <v>313</v>
      </c>
      <c r="AB9" s="81">
        <v>2.7777777777777776E-2</v>
      </c>
      <c r="AC9" s="2" t="s">
        <v>233</v>
      </c>
      <c r="AD9" s="81">
        <v>2.4305555555555556E-2</v>
      </c>
      <c r="AE9" s="97" t="s">
        <v>263</v>
      </c>
      <c r="AF9" s="81">
        <v>0.13194444444444445</v>
      </c>
      <c r="AG9" t="s">
        <v>202</v>
      </c>
      <c r="AH9" s="81">
        <v>6.25E-2</v>
      </c>
      <c r="AI9" t="s">
        <v>143</v>
      </c>
      <c r="AJ9" s="81">
        <v>8.3333333333333329E-2</v>
      </c>
      <c r="AK9" t="s">
        <v>91</v>
      </c>
      <c r="AL9" s="81">
        <v>2.7777777777777776E-2</v>
      </c>
    </row>
    <row r="10" spans="1:40" x14ac:dyDescent="0.25">
      <c r="B10" s="198" t="s">
        <v>3</v>
      </c>
      <c r="C10" s="193">
        <f>SUMIF(AG:AG,"*[Implementierung]*",AH:AH)</f>
        <v>0</v>
      </c>
      <c r="D10" s="193">
        <f>SUMIF(AG:AG,"*[Testen]*",AH:AH)</f>
        <v>0</v>
      </c>
      <c r="E10" s="193">
        <f>SUMIF(AG:AG,"*[Entwurf]*",AH:AH)</f>
        <v>0.23611111111111113</v>
      </c>
      <c r="F10" s="193">
        <f>SUMIF(AG:AG,"*[Recherche]*",AH:AH)</f>
        <v>2.0833333333333332E-2</v>
      </c>
      <c r="G10" s="193">
        <f>SUMIF(AG:AG,"*[Organisation]*",AH:AH)</f>
        <v>0.35416666666666669</v>
      </c>
      <c r="H10" s="193">
        <f>SUMIF(Meetings!L4:L11,"*Pellekoorne*",Meetings!K4:K11)</f>
        <v>6.5972222222222224E-2</v>
      </c>
      <c r="I10" s="194">
        <f>SUM(C10:H11)</f>
        <v>0.67708333333333337</v>
      </c>
      <c r="K10" t="s">
        <v>398</v>
      </c>
      <c r="L10" s="81">
        <v>0.21527777777777779</v>
      </c>
      <c r="M10" t="s">
        <v>493</v>
      </c>
      <c r="N10" s="81">
        <v>5.7638888888888885E-2</v>
      </c>
      <c r="O10" s="2" t="s">
        <v>233</v>
      </c>
      <c r="P10" s="81">
        <v>3.472222222222222E-3</v>
      </c>
      <c r="Q10" t="s">
        <v>427</v>
      </c>
      <c r="R10" s="81">
        <v>9.0277777777777776E-2</v>
      </c>
      <c r="S10" t="s">
        <v>436</v>
      </c>
      <c r="T10" s="81">
        <v>4.8611111111111112E-2</v>
      </c>
      <c r="U10" t="s">
        <v>397</v>
      </c>
      <c r="V10" s="81">
        <v>0.14583333333333334</v>
      </c>
      <c r="W10" t="s">
        <v>358</v>
      </c>
      <c r="X10" s="81">
        <v>4.1666666666666664E-2</v>
      </c>
      <c r="Y10" t="s">
        <v>333</v>
      </c>
      <c r="Z10" s="81">
        <v>6.25E-2</v>
      </c>
      <c r="AA10" t="s">
        <v>319</v>
      </c>
      <c r="AB10" s="81">
        <v>0.10416666666666667</v>
      </c>
      <c r="AE10" s="97" t="s">
        <v>264</v>
      </c>
      <c r="AF10" s="81">
        <v>8.3333333333333329E-2</v>
      </c>
      <c r="AG10" t="s">
        <v>203</v>
      </c>
      <c r="AH10" s="81">
        <v>2.7777777777777776E-2</v>
      </c>
      <c r="AI10" t="s">
        <v>144</v>
      </c>
      <c r="AJ10" s="81">
        <v>1.0416666666666666E-2</v>
      </c>
      <c r="AK10" t="s">
        <v>92</v>
      </c>
      <c r="AL10" s="81">
        <v>0.11458333333333333</v>
      </c>
    </row>
    <row r="11" spans="1:40" x14ac:dyDescent="0.25">
      <c r="B11" s="198"/>
      <c r="C11" s="193"/>
      <c r="D11" s="193"/>
      <c r="E11" s="193"/>
      <c r="F11" s="193"/>
      <c r="G11" s="193"/>
      <c r="H11" s="193"/>
      <c r="I11" s="194"/>
      <c r="K11" s="2" t="s">
        <v>233</v>
      </c>
      <c r="L11" s="81">
        <v>1.7361111111111112E-2</v>
      </c>
      <c r="M11" s="2" t="s">
        <v>233</v>
      </c>
      <c r="N11" s="81">
        <v>2.0833333333333332E-2</v>
      </c>
      <c r="O11" s="2" t="s">
        <v>485</v>
      </c>
      <c r="P11" s="81">
        <v>2.0833333333333332E-2</v>
      </c>
      <c r="Q11" t="s">
        <v>456</v>
      </c>
      <c r="R11" s="81">
        <v>2.0833333333333332E-2</v>
      </c>
      <c r="S11" t="s">
        <v>441</v>
      </c>
      <c r="T11" s="81">
        <v>7.2916666666666671E-2</v>
      </c>
      <c r="U11" t="s">
        <v>421</v>
      </c>
      <c r="V11" s="81">
        <v>2.7777777777777776E-2</v>
      </c>
      <c r="W11" t="s">
        <v>381</v>
      </c>
      <c r="X11" s="81">
        <v>4.1666666666666664E-2</v>
      </c>
      <c r="Y11" t="s">
        <v>335</v>
      </c>
      <c r="Z11" s="81">
        <v>2.7777777777777776E-2</v>
      </c>
      <c r="AA11" t="s">
        <v>318</v>
      </c>
      <c r="AB11" s="81">
        <v>2.7777777777777776E-2</v>
      </c>
      <c r="AE11" s="97" t="s">
        <v>266</v>
      </c>
      <c r="AF11" s="81">
        <v>2.7777777777777776E-2</v>
      </c>
      <c r="AG11" t="s">
        <v>92</v>
      </c>
      <c r="AH11" s="81">
        <v>0.10416666666666667</v>
      </c>
      <c r="AK11" t="s">
        <v>93</v>
      </c>
      <c r="AL11" s="81">
        <v>0.12152777777777778</v>
      </c>
    </row>
    <row r="12" spans="1:40" x14ac:dyDescent="0.25">
      <c r="B12" s="198" t="s">
        <v>4</v>
      </c>
      <c r="C12" s="193">
        <f>SUMIF(AE:AE,"*[Implementierung]*",AF:AF)</f>
        <v>0.44444444444444448</v>
      </c>
      <c r="D12" s="193">
        <f>SUMIF(AE:AE,"*[Testen]*",AF:AF)</f>
        <v>0</v>
      </c>
      <c r="E12" s="193">
        <f>SUMIF(AE:AE,"*[Entwurf]*",AF:AF)</f>
        <v>2.7777777777777776E-2</v>
      </c>
      <c r="F12" s="193">
        <f>SUMIF(AE:AE,"*[Recherche]*",AF:AF)</f>
        <v>0</v>
      </c>
      <c r="G12" s="193">
        <f>SUMIF(AE:AE,"*[Organisation]*",AF:AF)</f>
        <v>0.20833333333333331</v>
      </c>
      <c r="H12" s="193">
        <f>SUMIF(Meetings!O4:O11,"*Pellekoorne*",Meetings!N4:N11)</f>
        <v>8.1249999999999989E-2</v>
      </c>
      <c r="I12" s="194">
        <f>SUM(C12:H13)</f>
        <v>0.76180555555555562</v>
      </c>
      <c r="M12" s="107" t="s">
        <v>499</v>
      </c>
      <c r="N12" s="81">
        <v>2.0833333333333332E-2</v>
      </c>
      <c r="Q12" t="s">
        <v>460</v>
      </c>
      <c r="R12" s="81">
        <v>0.11597222222222221</v>
      </c>
      <c r="S12" s="2" t="s">
        <v>233</v>
      </c>
      <c r="T12" s="81">
        <v>6.9444444444444441E-3</v>
      </c>
      <c r="W12" t="s">
        <v>384</v>
      </c>
      <c r="X12" s="81">
        <v>3.4722222222222224E-2</v>
      </c>
      <c r="Y12" t="s">
        <v>338</v>
      </c>
      <c r="Z12" s="81">
        <v>0.19444444444444445</v>
      </c>
      <c r="AE12" s="97" t="s">
        <v>265</v>
      </c>
      <c r="AF12" s="81">
        <v>0.11805555555555557</v>
      </c>
      <c r="AK12" t="s">
        <v>94</v>
      </c>
      <c r="AL12" s="81">
        <v>0.11805555555555557</v>
      </c>
    </row>
    <row r="13" spans="1:40" x14ac:dyDescent="0.25">
      <c r="B13" s="198"/>
      <c r="C13" s="193"/>
      <c r="D13" s="193"/>
      <c r="E13" s="193"/>
      <c r="F13" s="193"/>
      <c r="G13" s="193"/>
      <c r="H13" s="193"/>
      <c r="I13" s="194"/>
      <c r="Q13" s="2" t="s">
        <v>233</v>
      </c>
      <c r="R13" s="81">
        <v>3.125E-2</v>
      </c>
      <c r="S13" t="s">
        <v>443</v>
      </c>
      <c r="T13" s="81">
        <v>1.0416666666666666E-2</v>
      </c>
      <c r="W13" t="s">
        <v>385</v>
      </c>
      <c r="X13" s="81">
        <v>4.1666666666666664E-2</v>
      </c>
      <c r="Y13" t="s">
        <v>354</v>
      </c>
      <c r="Z13" s="81">
        <v>2.7777777777777776E-2</v>
      </c>
      <c r="AK13" t="s">
        <v>95</v>
      </c>
      <c r="AL13" s="81">
        <v>0.14583333333333334</v>
      </c>
    </row>
    <row r="14" spans="1:40" x14ac:dyDescent="0.25">
      <c r="B14" s="198" t="s">
        <v>5</v>
      </c>
      <c r="C14" s="193">
        <f>SUMIF(AC:AC,"*[Implementierung]*",AD:AD)</f>
        <v>2.0833333333333332E-2</v>
      </c>
      <c r="D14" s="193">
        <f>SUMIF(AC:AC,"*[Testen]*",AD:AD)</f>
        <v>2.4305555555555556E-2</v>
      </c>
      <c r="E14" s="193">
        <f>SUMIF(AC:AC,"*[Entwurf]*",AD:AD)</f>
        <v>0</v>
      </c>
      <c r="F14" s="193">
        <f>SUMIF(AC:AC,"*[Recherche]*",AD:AD)</f>
        <v>0</v>
      </c>
      <c r="G14" s="193">
        <f>SUMIF(AC:AC,"*[Organisation]*",AD:AD)</f>
        <v>0.3125</v>
      </c>
      <c r="H14" s="193">
        <f>SUMIF(Meetings!R4:R11,"*Pellekoorne*",Meetings!Q4:Q11)</f>
        <v>0.18402777777777776</v>
      </c>
      <c r="I14" s="194">
        <f>SUM(C14:H15)</f>
        <v>0.54166666666666663</v>
      </c>
      <c r="AK14" t="s">
        <v>96</v>
      </c>
      <c r="AL14" s="81">
        <v>6.25E-2</v>
      </c>
    </row>
    <row r="15" spans="1:40" x14ac:dyDescent="0.25">
      <c r="B15" s="198"/>
      <c r="C15" s="193"/>
      <c r="D15" s="193"/>
      <c r="E15" s="193"/>
      <c r="F15" s="193"/>
      <c r="G15" s="193"/>
      <c r="H15" s="193"/>
      <c r="I15" s="194"/>
    </row>
    <row r="16" spans="1:40" x14ac:dyDescent="0.25">
      <c r="B16" s="198" t="s">
        <v>6</v>
      </c>
      <c r="C16" s="193">
        <f>SUMIF(AA:AA,"*[Implementierung]*",AB:AB)</f>
        <v>0.3263888888888889</v>
      </c>
      <c r="D16" s="193">
        <f>SUMIF(AA:AA,"*[Testen]*",AB:AB)</f>
        <v>0</v>
      </c>
      <c r="E16" s="193">
        <f>SUMIF(AA:AA,"*[Entwurf]*",AB:AB)</f>
        <v>0</v>
      </c>
      <c r="F16" s="193">
        <f>SUMIF(AA:AA,"*[Recherche]*",AB:AB)</f>
        <v>0</v>
      </c>
      <c r="G16" s="193">
        <f>SUMIF(AA:AA,"*[Organisation]*",AB:AB)</f>
        <v>0.31944444444444448</v>
      </c>
      <c r="H16" s="193">
        <f>SUMIF(Meetings!U4:U11,"*Pellekoorne*",Meetings!T4:T11)</f>
        <v>0.11805555555555555</v>
      </c>
      <c r="I16" s="194">
        <f>SUM(C16:H17)</f>
        <v>0.76388888888888895</v>
      </c>
    </row>
    <row r="17" spans="2:9" x14ac:dyDescent="0.25">
      <c r="B17" s="198"/>
      <c r="C17" s="193"/>
      <c r="D17" s="193"/>
      <c r="E17" s="193"/>
      <c r="F17" s="193"/>
      <c r="G17" s="193"/>
      <c r="H17" s="193"/>
      <c r="I17" s="194"/>
    </row>
    <row r="18" spans="2:9" x14ac:dyDescent="0.25">
      <c r="B18" s="198" t="s">
        <v>28</v>
      </c>
      <c r="C18" s="193">
        <f>SUMIF(Y:Y,"*[Implementierung]*",Z:Z)</f>
        <v>0.24305555555555558</v>
      </c>
      <c r="D18" s="193">
        <f>SUMIF(Y:Y,"*[Testen]*",Z:Z)</f>
        <v>0</v>
      </c>
      <c r="E18" s="193">
        <f>SUMIF(Y:Y,"*[Entwurf]*",Z:Z)</f>
        <v>0.25694444444444442</v>
      </c>
      <c r="F18" s="193">
        <f>SUMIF(Y:Y,"*[Recherche]*",Z:Z)</f>
        <v>0</v>
      </c>
      <c r="G18" s="193">
        <f>SUMIF(Y:Y,"*[Organisation]*",Z:Z)</f>
        <v>0.23958333333333331</v>
      </c>
      <c r="H18" s="193">
        <f>SUMIF(Meetings!C14:C21,"*Pellekoorne*",Meetings!B14:B21)</f>
        <v>0.2013888888888889</v>
      </c>
      <c r="I18" s="194">
        <f>SUM(C18:H19)</f>
        <v>0.9409722222222221</v>
      </c>
    </row>
    <row r="19" spans="2:9" x14ac:dyDescent="0.25">
      <c r="B19" s="198"/>
      <c r="C19" s="193"/>
      <c r="D19" s="193"/>
      <c r="E19" s="193"/>
      <c r="F19" s="193"/>
      <c r="G19" s="193"/>
      <c r="H19" s="193"/>
      <c r="I19" s="194"/>
    </row>
    <row r="20" spans="2:9" x14ac:dyDescent="0.25">
      <c r="B20" s="198" t="s">
        <v>29</v>
      </c>
      <c r="C20" s="193">
        <f>SUMIF(W:W,"*[Implementierung]*",X:X)</f>
        <v>4.1666666666666664E-2</v>
      </c>
      <c r="D20" s="193">
        <f>SUMIF(W:W,"*[Testen]*",X:X)</f>
        <v>0</v>
      </c>
      <c r="E20" s="193">
        <f>SUMIF(W:W,"*[Entwurf]*",X:X)</f>
        <v>4.8611111111111105E-2</v>
      </c>
      <c r="F20" s="193">
        <f>SUMIF(W:W,"*[Recherche]*",X:X)</f>
        <v>0</v>
      </c>
      <c r="G20" s="193">
        <f>SUMIF(W:W,"*[Organisation]*",X:X)</f>
        <v>0.34722222222222227</v>
      </c>
      <c r="H20" s="193">
        <f>SUMIF(Meetings!F14:F21,"*Pellekoorne*",Meetings!E14:E21)</f>
        <v>0.10416666666666666</v>
      </c>
      <c r="I20" s="194">
        <f>SUM(C20:H21)</f>
        <v>0.54166666666666663</v>
      </c>
    </row>
    <row r="21" spans="2:9" x14ac:dyDescent="0.25">
      <c r="B21" s="198"/>
      <c r="C21" s="193"/>
      <c r="D21" s="193"/>
      <c r="E21" s="193"/>
      <c r="F21" s="193"/>
      <c r="G21" s="193"/>
      <c r="H21" s="193"/>
      <c r="I21" s="194"/>
    </row>
    <row r="22" spans="2:9" x14ac:dyDescent="0.25">
      <c r="B22" s="198" t="s">
        <v>30</v>
      </c>
      <c r="C22" s="193">
        <f>SUMIF(U:U,"*[Implementierung]*",V:V)</f>
        <v>0.44444444444444436</v>
      </c>
      <c r="D22" s="193">
        <f>SUMIF(U:U,"*[Testen]*",V:V)</f>
        <v>0</v>
      </c>
      <c r="E22" s="193">
        <f>SUMIF(U:U,"*[Entwurf]*",V:V)</f>
        <v>0</v>
      </c>
      <c r="F22" s="193">
        <f>SUMIF(U:U,"*[Recherche]*",V:V)</f>
        <v>0</v>
      </c>
      <c r="G22" s="193">
        <f>SUMIF(U:U,"*[Organisation]*",V:V)</f>
        <v>0.1736111111111111</v>
      </c>
      <c r="H22" s="193">
        <f>SUMIF(Meetings!I14:I21,"*Pellekoorne*",Meetings!H14:H21)</f>
        <v>0.1388888888888889</v>
      </c>
      <c r="I22" s="194">
        <f>SUM(C22:H23)</f>
        <v>0.75694444444444442</v>
      </c>
    </row>
    <row r="23" spans="2:9" x14ac:dyDescent="0.25">
      <c r="B23" s="198"/>
      <c r="C23" s="193"/>
      <c r="D23" s="193"/>
      <c r="E23" s="193"/>
      <c r="F23" s="193"/>
      <c r="G23" s="193"/>
      <c r="H23" s="193"/>
      <c r="I23" s="194"/>
    </row>
    <row r="24" spans="2:9" x14ac:dyDescent="0.25">
      <c r="B24" s="198" t="s">
        <v>31</v>
      </c>
      <c r="C24" s="193">
        <f>SUMIF(S:S,"*[Implementierung]*",T:T)</f>
        <v>0.38541666666666669</v>
      </c>
      <c r="D24" s="193">
        <f>SUMIF(S:S,"*[Testen]*",T:T)</f>
        <v>6.9444444444444441E-3</v>
      </c>
      <c r="E24" s="193">
        <f>SUMIF(S:S,"*[Entwurf]*",T:T)</f>
        <v>4.8611111111111112E-2</v>
      </c>
      <c r="F24" s="193">
        <f>SUMIF(S:S,"*[Recherche]*",T:T)</f>
        <v>0</v>
      </c>
      <c r="G24" s="193">
        <f>SUMIF(S:S,"*[Organisation]*",T:T)</f>
        <v>0.1875</v>
      </c>
      <c r="H24" s="193">
        <f>SUMIF(Meetings!L14:L21,"*Pellekoorne*",Meetings!K14:K21)</f>
        <v>0.11944444444444444</v>
      </c>
      <c r="I24" s="194">
        <f>SUM(C24:H25)</f>
        <v>0.74791666666666667</v>
      </c>
    </row>
    <row r="25" spans="2:9" x14ac:dyDescent="0.25">
      <c r="B25" s="198"/>
      <c r="C25" s="193"/>
      <c r="D25" s="193"/>
      <c r="E25" s="193"/>
      <c r="F25" s="193"/>
      <c r="G25" s="193"/>
      <c r="H25" s="193"/>
      <c r="I25" s="194"/>
    </row>
    <row r="26" spans="2:9" x14ac:dyDescent="0.25">
      <c r="B26" s="198" t="s">
        <v>32</v>
      </c>
      <c r="C26" s="193">
        <f>SUMIF(Q:Q,"*[Implementierung]*",R:R)</f>
        <v>0.3034722222222222</v>
      </c>
      <c r="D26" s="193">
        <f>SUMIF(Q:Q,"*[Testen]*",R:R)</f>
        <v>3.125E-2</v>
      </c>
      <c r="E26" s="193">
        <f>SUMIF(Q:Q,"*[Entwurf]*",R:R)</f>
        <v>0</v>
      </c>
      <c r="F26" s="193">
        <f>SUMIF(Q:Q,"*[Recherche]*",R:R)</f>
        <v>0</v>
      </c>
      <c r="G26" s="193">
        <f>SUMIF(Q:Q,"*[Organisation]*",R:R)</f>
        <v>0.27777777777777773</v>
      </c>
      <c r="H26" s="193">
        <f>SUMIF(Meetings!O14:O21,"*Pellekoorne*",Meetings!N14:N21)</f>
        <v>7.6388888888888895E-2</v>
      </c>
      <c r="I26" s="194">
        <f>SUM(C26:H27)</f>
        <v>0.68888888888888888</v>
      </c>
    </row>
    <row r="27" spans="2:9" x14ac:dyDescent="0.25">
      <c r="B27" s="198"/>
      <c r="C27" s="193"/>
      <c r="D27" s="193"/>
      <c r="E27" s="193"/>
      <c r="F27" s="193"/>
      <c r="G27" s="193"/>
      <c r="H27" s="193"/>
      <c r="I27" s="194"/>
    </row>
    <row r="28" spans="2:9" x14ac:dyDescent="0.25">
      <c r="B28" s="198" t="s">
        <v>33</v>
      </c>
      <c r="C28" s="193">
        <f>SUMIF(O:O,"*[Implementierung]*",P:P)</f>
        <v>0.125</v>
      </c>
      <c r="D28" s="193">
        <f>SUMIF(O:O,"*[Testen]*",P:P)</f>
        <v>3.472222222222222E-3</v>
      </c>
      <c r="E28" s="193">
        <f>SUMIF(O:O,"*[Entwurf]*",P:P)</f>
        <v>0</v>
      </c>
      <c r="F28" s="193">
        <f>SUMIF(O:O,"*[Recherche]*",P:P)</f>
        <v>0</v>
      </c>
      <c r="G28" s="193">
        <f>SUMIF(O:O,"*[Organisation]*",P:P)</f>
        <v>0.11805555555555555</v>
      </c>
      <c r="H28" s="193">
        <f>SUMIF(Meetings!R14:R21,"*Pellekoorne*",Meetings!Q14:Q21)</f>
        <v>7.2916666666666657E-2</v>
      </c>
      <c r="I28" s="194">
        <f>SUM(C28:H29)</f>
        <v>0.31944444444444442</v>
      </c>
    </row>
    <row r="29" spans="2:9" x14ac:dyDescent="0.25">
      <c r="B29" s="198"/>
      <c r="C29" s="193"/>
      <c r="D29" s="193"/>
      <c r="E29" s="193"/>
      <c r="F29" s="193"/>
      <c r="G29" s="193"/>
      <c r="H29" s="193"/>
      <c r="I29" s="194"/>
    </row>
    <row r="30" spans="2:9" x14ac:dyDescent="0.25">
      <c r="B30" s="198" t="s">
        <v>34</v>
      </c>
      <c r="C30" s="193">
        <f>SUMIF(M:M,"*[Implementierung]*",N:N)</f>
        <v>0.23125000000000001</v>
      </c>
      <c r="D30" s="193">
        <f>SUMIF(M:M,"*[Testen]*",N:N)</f>
        <v>2.0833333333333332E-2</v>
      </c>
      <c r="E30" s="193">
        <f>SUMIF(M:M,"*[Entwurf]*",N:N)</f>
        <v>0</v>
      </c>
      <c r="F30" s="193">
        <f>SUMIF(M:M,"*[Recherche]*",N:N)</f>
        <v>0</v>
      </c>
      <c r="G30" s="193">
        <f>SUMIF(M:M,"*[Organisation]*",N:N)</f>
        <v>5.5555555555555552E-2</v>
      </c>
      <c r="H30" s="193">
        <f>SUMIF(Meetings!U14:U21,"*Pellekoorne*",Meetings!T14:T21)</f>
        <v>5.5555555555555552E-2</v>
      </c>
      <c r="I30" s="194">
        <f>SUM(C30:H31)</f>
        <v>0.36319444444444449</v>
      </c>
    </row>
    <row r="31" spans="2:9" x14ac:dyDescent="0.25">
      <c r="B31" s="198"/>
      <c r="C31" s="193"/>
      <c r="D31" s="193"/>
      <c r="E31" s="193"/>
      <c r="F31" s="193"/>
      <c r="G31" s="193"/>
      <c r="H31" s="193"/>
      <c r="I31" s="195"/>
    </row>
    <row r="32" spans="2:9" x14ac:dyDescent="0.25">
      <c r="B32" s="198" t="s">
        <v>392</v>
      </c>
      <c r="C32" s="193">
        <f>SUMIF(K:K,"*[Implementierung]*",L:L)</f>
        <v>0.30555555555555558</v>
      </c>
      <c r="D32" s="193">
        <f>SUMIF(K:K,"*[Testen]*",L:L)</f>
        <v>1.7361111111111112E-2</v>
      </c>
      <c r="E32" s="193">
        <f>SUMIF(K:K,"*[Entwurf]*",L:L)</f>
        <v>0</v>
      </c>
      <c r="F32" s="193">
        <f>SUMIF(K:K,"*[Recherche]*",L:L)</f>
        <v>0</v>
      </c>
      <c r="G32" s="193">
        <f>SUMIF(K:K,"*[Organisation]*",L:L)</f>
        <v>0.2673611111111111</v>
      </c>
      <c r="H32" s="193">
        <f>SUMIF(Meetings!C24:C31,"*Pellekoorne*",Meetings!B24:B31)</f>
        <v>9.0277777777777776E-2</v>
      </c>
      <c r="I32" s="194">
        <f>SUM(C32:H33)</f>
        <v>0.68055555555555558</v>
      </c>
    </row>
    <row r="33" spans="2:9" x14ac:dyDescent="0.25">
      <c r="B33" s="198"/>
      <c r="C33" s="193"/>
      <c r="D33" s="193"/>
      <c r="E33" s="193"/>
      <c r="F33" s="193"/>
      <c r="G33" s="193"/>
      <c r="H33" s="193"/>
      <c r="I33" s="195"/>
    </row>
    <row r="34" spans="2:9" x14ac:dyDescent="0.25">
      <c r="B34" s="198" t="s">
        <v>393</v>
      </c>
      <c r="C34" s="193"/>
      <c r="D34" s="193"/>
      <c r="E34" s="193"/>
      <c r="F34" s="193"/>
      <c r="G34" s="193"/>
      <c r="H34" s="193">
        <f>SUMIF(Meetings!F24:F31,"*Pellekoorne*",Meetings!E24:E31)</f>
        <v>0.18055555555555552</v>
      </c>
      <c r="I34" s="194">
        <f>SUM(C34:H35)</f>
        <v>0.18055555555555552</v>
      </c>
    </row>
    <row r="35" spans="2:9" x14ac:dyDescent="0.25">
      <c r="B35" s="198"/>
      <c r="C35" s="193"/>
      <c r="D35" s="193"/>
      <c r="E35" s="193"/>
      <c r="F35" s="193"/>
      <c r="G35" s="193"/>
      <c r="H35" s="193"/>
      <c r="I35" s="195"/>
    </row>
    <row r="36" spans="2:9" x14ac:dyDescent="0.25">
      <c r="B36" s="198" t="s">
        <v>394</v>
      </c>
      <c r="C36" s="193"/>
      <c r="D36" s="193"/>
      <c r="E36" s="193"/>
      <c r="F36" s="193"/>
      <c r="G36" s="193"/>
      <c r="H36" s="193">
        <f>SUMIF(Meetings!I24:I31,"*Pellekoorne*",Meetings!H24:H31)</f>
        <v>0</v>
      </c>
      <c r="I36" s="194">
        <f>SUM(C36:H37)</f>
        <v>0</v>
      </c>
    </row>
    <row r="37" spans="2:9" ht="15.75" thickBot="1" x14ac:dyDescent="0.3">
      <c r="B37" s="198"/>
      <c r="C37" s="193"/>
      <c r="D37" s="193"/>
      <c r="E37" s="193"/>
      <c r="F37" s="193"/>
      <c r="G37" s="193"/>
      <c r="H37" s="193"/>
      <c r="I37" s="195"/>
    </row>
    <row r="38" spans="2:9" x14ac:dyDescent="0.25">
      <c r="B38" s="192" t="s">
        <v>43</v>
      </c>
      <c r="C38" s="194">
        <f t="shared" ref="C38:H38" si="0">SUM(C4:C31)</f>
        <v>2.5763888888888893</v>
      </c>
      <c r="D38" s="194">
        <f t="shared" si="0"/>
        <v>8.6805555555555552E-2</v>
      </c>
      <c r="E38" s="194">
        <f t="shared" si="0"/>
        <v>0.68055555555555558</v>
      </c>
      <c r="F38" s="194">
        <f t="shared" si="0"/>
        <v>0.10416666666666666</v>
      </c>
      <c r="G38" s="194">
        <f t="shared" si="0"/>
        <v>4.1180555555555562</v>
      </c>
      <c r="H38" s="199">
        <f t="shared" si="0"/>
        <v>1.7611111111111113</v>
      </c>
      <c r="I38" s="201">
        <f>SUM(C38:H39)</f>
        <v>9.3270833333333343</v>
      </c>
    </row>
    <row r="39" spans="2:9" ht="15.75" thickBot="1" x14ac:dyDescent="0.3">
      <c r="B39" s="192"/>
      <c r="C39" s="192"/>
      <c r="D39" s="192"/>
      <c r="E39" s="192"/>
      <c r="F39" s="192"/>
      <c r="G39" s="192"/>
      <c r="H39" s="200"/>
      <c r="I39" s="202"/>
    </row>
  </sheetData>
  <mergeCells count="145">
    <mergeCell ref="I32:I33"/>
    <mergeCell ref="C34:C35"/>
    <mergeCell ref="D34:D35"/>
    <mergeCell ref="E34:E35"/>
    <mergeCell ref="F34:F35"/>
    <mergeCell ref="G34:G35"/>
    <mergeCell ref="H34:H35"/>
    <mergeCell ref="I34:I35"/>
    <mergeCell ref="C36:C37"/>
    <mergeCell ref="D36:D37"/>
    <mergeCell ref="E36:E37"/>
    <mergeCell ref="F36:F37"/>
    <mergeCell ref="G36:G37"/>
    <mergeCell ref="H36:H37"/>
    <mergeCell ref="I36:I37"/>
    <mergeCell ref="B32:B33"/>
    <mergeCell ref="B34:B35"/>
    <mergeCell ref="B36:B37"/>
    <mergeCell ref="C32:C33"/>
    <mergeCell ref="D32:D33"/>
    <mergeCell ref="E32:E33"/>
    <mergeCell ref="F32:F33"/>
    <mergeCell ref="G32:G33"/>
    <mergeCell ref="H32:H33"/>
    <mergeCell ref="B38:B39"/>
    <mergeCell ref="C38:C39"/>
    <mergeCell ref="D38:D39"/>
    <mergeCell ref="E38:E39"/>
    <mergeCell ref="F38:F39"/>
    <mergeCell ref="G38:G39"/>
    <mergeCell ref="H38:H39"/>
    <mergeCell ref="I38:I39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AN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40" ht="26.25" x14ac:dyDescent="0.4">
      <c r="A1" s="190" t="s">
        <v>50</v>
      </c>
      <c r="B1" s="190"/>
      <c r="C1" s="190"/>
      <c r="K1" s="50" t="s">
        <v>56</v>
      </c>
      <c r="L1" s="2"/>
    </row>
    <row r="3" spans="1:40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392</v>
      </c>
      <c r="L3" s="58"/>
      <c r="M3" s="58" t="s">
        <v>34</v>
      </c>
      <c r="N3" s="58"/>
      <c r="O3" s="58" t="s">
        <v>33</v>
      </c>
      <c r="P3" s="58"/>
      <c r="Q3" s="58" t="s">
        <v>32</v>
      </c>
      <c r="R3" s="58"/>
      <c r="S3" s="58" t="s">
        <v>31</v>
      </c>
      <c r="T3" s="58"/>
      <c r="U3" s="58" t="s">
        <v>30</v>
      </c>
      <c r="V3" s="58"/>
      <c r="W3" s="58" t="s">
        <v>29</v>
      </c>
      <c r="X3" s="58"/>
      <c r="Y3" s="58" t="s">
        <v>28</v>
      </c>
      <c r="Z3" s="58"/>
      <c r="AA3" s="58" t="s">
        <v>6</v>
      </c>
      <c r="AB3" s="58"/>
      <c r="AC3" s="58" t="s">
        <v>5</v>
      </c>
      <c r="AD3" s="58"/>
      <c r="AE3" s="58" t="s">
        <v>4</v>
      </c>
      <c r="AF3" s="58"/>
      <c r="AG3" s="58" t="s">
        <v>3</v>
      </c>
      <c r="AH3" s="58"/>
      <c r="AI3" s="58" t="s">
        <v>2</v>
      </c>
      <c r="AJ3" s="58"/>
      <c r="AK3" s="58" t="s">
        <v>1</v>
      </c>
      <c r="AL3" s="58"/>
      <c r="AM3" s="47" t="s">
        <v>37</v>
      </c>
      <c r="AN3" s="47"/>
    </row>
    <row r="4" spans="1:40" x14ac:dyDescent="0.25">
      <c r="B4" s="196" t="s">
        <v>37</v>
      </c>
      <c r="C4" s="186">
        <f>SUMIF(AM:AM,"*[Implementierung]*",AN:AN)</f>
        <v>0</v>
      </c>
      <c r="D4" s="186">
        <f>SUMIF(AM:AM,"*[Testen]*",AN:AN)</f>
        <v>0</v>
      </c>
      <c r="E4" s="186">
        <f>SUMIF(AM:AM,"*[Entwurf]*",AN:AN)</f>
        <v>0</v>
      </c>
      <c r="F4" s="186">
        <f>SUMIF(AM:AM,"*[Recherche]*",AN:AN)</f>
        <v>0.46527777777777773</v>
      </c>
      <c r="G4" s="186">
        <f>SUMIF(AM:AM,"*[Organisation]*",AN:AN)</f>
        <v>0</v>
      </c>
      <c r="H4" s="186">
        <f>SUMIF(Meetings!C4:C11,"*Gutsche*",Meetings!B4:B11)</f>
        <v>0.29166666666666669</v>
      </c>
      <c r="I4" s="194">
        <f>SUM(C4:H5)</f>
        <v>0.75694444444444442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  <c r="AG4" s="48" t="s">
        <v>59</v>
      </c>
      <c r="AH4" s="48" t="s">
        <v>60</v>
      </c>
      <c r="AI4" s="48" t="s">
        <v>59</v>
      </c>
      <c r="AJ4" s="48" t="s">
        <v>60</v>
      </c>
      <c r="AK4" s="48" t="s">
        <v>59</v>
      </c>
      <c r="AL4" s="48" t="s">
        <v>60</v>
      </c>
      <c r="AM4" s="48" t="s">
        <v>59</v>
      </c>
      <c r="AN4" s="48" t="s">
        <v>60</v>
      </c>
    </row>
    <row r="5" spans="1:40" x14ac:dyDescent="0.25">
      <c r="B5" s="197"/>
      <c r="C5" s="186"/>
      <c r="D5" s="186"/>
      <c r="E5" s="186"/>
      <c r="F5" s="186"/>
      <c r="G5" s="186"/>
      <c r="H5" s="186"/>
      <c r="I5" s="194"/>
      <c r="K5" t="s">
        <v>500</v>
      </c>
      <c r="L5" s="81">
        <v>7.9861111111111105E-2</v>
      </c>
      <c r="M5" t="s">
        <v>358</v>
      </c>
      <c r="N5" s="81">
        <v>0.18055555555555555</v>
      </c>
      <c r="O5" t="s">
        <v>358</v>
      </c>
      <c r="P5" s="81">
        <v>7.8472222222222221E-2</v>
      </c>
      <c r="Q5" t="s">
        <v>387</v>
      </c>
      <c r="R5" s="81">
        <v>0.14583333333333334</v>
      </c>
      <c r="S5" t="s">
        <v>422</v>
      </c>
      <c r="T5" s="81">
        <v>0.16041666666666668</v>
      </c>
      <c r="U5" t="s">
        <v>387</v>
      </c>
      <c r="V5" s="81">
        <v>2.4305555555555556E-2</v>
      </c>
      <c r="W5" t="s">
        <v>369</v>
      </c>
      <c r="X5" s="81">
        <v>1.3194444444444444E-2</v>
      </c>
      <c r="Y5" t="s">
        <v>321</v>
      </c>
      <c r="Z5" s="81">
        <v>5.5555555555555552E-2</v>
      </c>
      <c r="AA5" t="s">
        <v>283</v>
      </c>
      <c r="AB5" s="81">
        <v>8.819444444444445E-2</v>
      </c>
      <c r="AC5" t="s">
        <v>271</v>
      </c>
      <c r="AD5" s="81">
        <v>5.2083333333333336E-2</v>
      </c>
      <c r="AE5" t="s">
        <v>235</v>
      </c>
      <c r="AF5" s="81">
        <v>8.4027777777777771E-2</v>
      </c>
      <c r="AG5" t="s">
        <v>204</v>
      </c>
      <c r="AH5" s="81">
        <v>7.7777777777777779E-2</v>
      </c>
      <c r="AI5" t="s">
        <v>145</v>
      </c>
      <c r="AJ5" s="81">
        <v>4.1666666666666664E-2</v>
      </c>
      <c r="AK5" t="s">
        <v>88</v>
      </c>
      <c r="AL5" s="81">
        <v>5.2083333333333336E-2</v>
      </c>
      <c r="AM5" s="2" t="s">
        <v>64</v>
      </c>
      <c r="AN5" s="85">
        <v>9.375E-2</v>
      </c>
    </row>
    <row r="6" spans="1:40" x14ac:dyDescent="0.25">
      <c r="B6" s="198" t="s">
        <v>1</v>
      </c>
      <c r="C6" s="193">
        <f>SUMIF(AK:AK,"*[Implementierung]*",AL:AL)</f>
        <v>0.45347222222222228</v>
      </c>
      <c r="D6" s="193">
        <f>SUMIF(AK:AK,"*[Testen]*",AL:AL)</f>
        <v>0</v>
      </c>
      <c r="E6" s="193">
        <f>SUMIF(AK:AK,"*[Entwurf]*",AL:AL)</f>
        <v>7.2916666666666671E-2</v>
      </c>
      <c r="F6" s="193">
        <f>SUMIF(AK:AK,"*[Recherche]*",AL:AL)</f>
        <v>0</v>
      </c>
      <c r="G6" s="193">
        <f>SUMIF(AK:AK,"*[Organisation]*",AL:AL)</f>
        <v>6.25E-2</v>
      </c>
      <c r="H6" s="193">
        <f>SUMIF(Meetings!F4:F11,"*Gutsche*",Meetings!E4:E11)</f>
        <v>6.9444444444444448E-2</v>
      </c>
      <c r="I6" s="194">
        <f>SUM(C6:H7)</f>
        <v>0.65833333333333333</v>
      </c>
      <c r="K6" t="s">
        <v>501</v>
      </c>
      <c r="L6" s="81">
        <v>3.472222222222222E-3</v>
      </c>
      <c r="M6" t="s">
        <v>497</v>
      </c>
      <c r="N6" s="81">
        <v>1.7361111111111112E-2</v>
      </c>
      <c r="O6" t="s">
        <v>465</v>
      </c>
      <c r="P6" s="81">
        <v>0.18055555555555555</v>
      </c>
      <c r="Q6" t="s">
        <v>450</v>
      </c>
      <c r="R6" s="81">
        <v>0.10416666666666667</v>
      </c>
      <c r="S6" t="s">
        <v>431</v>
      </c>
      <c r="T6" s="81">
        <v>6.25E-2</v>
      </c>
      <c r="U6" t="s">
        <v>358</v>
      </c>
      <c r="V6" s="81">
        <v>5.2083333333333336E-2</v>
      </c>
      <c r="W6" t="s">
        <v>375</v>
      </c>
      <c r="X6" s="81">
        <v>0.12847222222222224</v>
      </c>
      <c r="Y6" t="s">
        <v>325</v>
      </c>
      <c r="Z6" s="81">
        <v>8.2638888888888887E-2</v>
      </c>
      <c r="AA6" t="s">
        <v>290</v>
      </c>
      <c r="AB6" s="81">
        <v>6.6666666666666666E-2</v>
      </c>
      <c r="AC6" t="s">
        <v>277</v>
      </c>
      <c r="AD6" s="81">
        <v>3.4722222222222224E-2</v>
      </c>
      <c r="AE6" t="s">
        <v>243</v>
      </c>
      <c r="AF6" s="81">
        <v>0.22152777777777777</v>
      </c>
      <c r="AG6" t="s">
        <v>205</v>
      </c>
      <c r="AH6" s="81">
        <v>1.0416666666666666E-2</v>
      </c>
      <c r="AI6" t="s">
        <v>146</v>
      </c>
      <c r="AJ6" s="81">
        <v>1.0416666666666666E-2</v>
      </c>
      <c r="AK6" t="s">
        <v>104</v>
      </c>
      <c r="AL6" s="81">
        <v>0.1111111111111111</v>
      </c>
      <c r="AM6" s="2" t="s">
        <v>65</v>
      </c>
      <c r="AN6" s="85">
        <v>0.25</v>
      </c>
    </row>
    <row r="7" spans="1:40" x14ac:dyDescent="0.25">
      <c r="B7" s="198"/>
      <c r="C7" s="193"/>
      <c r="D7" s="193"/>
      <c r="E7" s="193"/>
      <c r="F7" s="193"/>
      <c r="G7" s="193"/>
      <c r="H7" s="193"/>
      <c r="I7" s="194"/>
      <c r="K7" t="s">
        <v>358</v>
      </c>
      <c r="L7" s="81">
        <v>2.4305555555555556E-2</v>
      </c>
      <c r="M7" t="s">
        <v>474</v>
      </c>
      <c r="N7" s="81">
        <v>2.013888888888889E-2</v>
      </c>
      <c r="O7" t="s">
        <v>474</v>
      </c>
      <c r="P7" s="81">
        <v>2.0833333333333332E-2</v>
      </c>
      <c r="Q7" t="s">
        <v>422</v>
      </c>
      <c r="R7" s="81">
        <v>2.1527777777777781E-2</v>
      </c>
      <c r="S7" t="s">
        <v>432</v>
      </c>
      <c r="T7" s="81">
        <v>0.16111111111111112</v>
      </c>
      <c r="U7" t="s">
        <v>410</v>
      </c>
      <c r="V7" s="81">
        <v>3.5416666666666666E-2</v>
      </c>
      <c r="W7" t="s">
        <v>379</v>
      </c>
      <c r="X7" s="81">
        <v>0.12152777777777778</v>
      </c>
      <c r="Y7" t="s">
        <v>336</v>
      </c>
      <c r="Z7" s="81">
        <v>3.4722222222222224E-2</v>
      </c>
      <c r="AA7" t="s">
        <v>293</v>
      </c>
      <c r="AB7" s="81">
        <v>2.4305555555555556E-2</v>
      </c>
      <c r="AC7" t="s">
        <v>280</v>
      </c>
      <c r="AD7" s="81">
        <v>2.4305555555555556E-2</v>
      </c>
      <c r="AE7" t="s">
        <v>255</v>
      </c>
      <c r="AF7" s="81">
        <v>7.2916666666666671E-2</v>
      </c>
      <c r="AG7" t="s">
        <v>206</v>
      </c>
      <c r="AH7" s="81">
        <v>0.13055555555555556</v>
      </c>
      <c r="AI7" t="s">
        <v>147</v>
      </c>
      <c r="AJ7" s="81">
        <v>1.3888888888888888E-2</v>
      </c>
      <c r="AK7" s="81" t="s">
        <v>105</v>
      </c>
      <c r="AL7" s="81">
        <v>5.9027777777777783E-2</v>
      </c>
      <c r="AM7" s="2" t="s">
        <v>66</v>
      </c>
      <c r="AN7" s="85">
        <v>2.0833333333333332E-2</v>
      </c>
    </row>
    <row r="8" spans="1:40" x14ac:dyDescent="0.25">
      <c r="B8" s="198" t="s">
        <v>2</v>
      </c>
      <c r="C8" s="193">
        <f>SUMIF(AI:AI,"*[Implementierung]*",AJ:AJ)</f>
        <v>0.50347222222222232</v>
      </c>
      <c r="D8" s="193">
        <f>SUMIF(AI:AI,"*[Testen]*",AJ:AJ)</f>
        <v>0</v>
      </c>
      <c r="E8" s="193">
        <f>SUMIF(AI:AI,"*[Entwurf]*",AJ:AJ)</f>
        <v>0</v>
      </c>
      <c r="F8" s="193">
        <f>SUMIF(AI:AI,"*[Recherche]*",AJ:AJ)</f>
        <v>1.3888888888888888E-2</v>
      </c>
      <c r="G8" s="193">
        <f>SUMIF(AI:AI,"*[Organisation]*",AJ:AJ)</f>
        <v>4.1666666666666664E-2</v>
      </c>
      <c r="H8" s="193">
        <f>SUMIF(Meetings!I4:I11,"*Gutsche*",Meetings!H4:H11)</f>
        <v>0.14027777777777778</v>
      </c>
      <c r="I8" s="194">
        <f>SUM(C8:H9)</f>
        <v>0.69930555555555562</v>
      </c>
      <c r="K8" t="s">
        <v>509</v>
      </c>
      <c r="L8" s="81">
        <v>0.1076388888888889</v>
      </c>
      <c r="M8" t="s">
        <v>494</v>
      </c>
      <c r="N8" s="81">
        <v>0.13749999999999998</v>
      </c>
      <c r="O8" t="s">
        <v>450</v>
      </c>
      <c r="P8" s="81">
        <v>0.10069444444444443</v>
      </c>
      <c r="Q8" t="s">
        <v>432</v>
      </c>
      <c r="R8" s="81">
        <v>2.0833333333333332E-2</v>
      </c>
      <c r="S8" t="s">
        <v>433</v>
      </c>
      <c r="T8" s="81">
        <v>7.6388888888888895E-2</v>
      </c>
      <c r="U8" t="s">
        <v>352</v>
      </c>
      <c r="V8" s="81">
        <v>0.19027777777777777</v>
      </c>
      <c r="W8" t="s">
        <v>380</v>
      </c>
      <c r="X8" s="81">
        <v>1.7361111111111112E-2</v>
      </c>
      <c r="Y8" t="s">
        <v>350</v>
      </c>
      <c r="Z8" s="81">
        <v>0.16666666666666666</v>
      </c>
      <c r="AA8" t="s">
        <v>303</v>
      </c>
      <c r="AB8" s="81">
        <v>0.16458333333333333</v>
      </c>
      <c r="AC8" t="s">
        <v>283</v>
      </c>
      <c r="AD8" s="81">
        <v>0.12986111111111112</v>
      </c>
      <c r="AE8" t="s">
        <v>256</v>
      </c>
      <c r="AF8" s="81">
        <v>6.0416666666666667E-2</v>
      </c>
      <c r="AG8" t="s">
        <v>207</v>
      </c>
      <c r="AH8" s="81">
        <v>2.7777777777777776E-2</v>
      </c>
      <c r="AI8" s="86" t="s">
        <v>148</v>
      </c>
      <c r="AJ8" s="81">
        <v>0.31944444444444448</v>
      </c>
      <c r="AK8" t="s">
        <v>106</v>
      </c>
      <c r="AL8" s="81">
        <v>2.0833333333333332E-2</v>
      </c>
      <c r="AM8" s="2" t="s">
        <v>67</v>
      </c>
      <c r="AN8" s="85">
        <v>0.10069444444444443</v>
      </c>
    </row>
    <row r="9" spans="1:40" x14ac:dyDescent="0.25">
      <c r="B9" s="198"/>
      <c r="C9" s="193"/>
      <c r="D9" s="193"/>
      <c r="E9" s="193"/>
      <c r="F9" s="193"/>
      <c r="G9" s="193"/>
      <c r="H9" s="193"/>
      <c r="I9" s="194"/>
      <c r="K9" t="s">
        <v>497</v>
      </c>
      <c r="L9" s="81">
        <v>0.20972222222222223</v>
      </c>
      <c r="O9" t="s">
        <v>476</v>
      </c>
      <c r="P9" s="81">
        <v>0.15138888888888888</v>
      </c>
      <c r="Q9" t="s">
        <v>433</v>
      </c>
      <c r="R9" s="81">
        <v>0.1277777777777778</v>
      </c>
      <c r="S9" t="s">
        <v>437</v>
      </c>
      <c r="T9" s="81">
        <v>0.10416666666666667</v>
      </c>
      <c r="U9" t="s">
        <v>411</v>
      </c>
      <c r="V9" s="81">
        <v>6.3888888888888884E-2</v>
      </c>
      <c r="W9" t="s">
        <v>382</v>
      </c>
      <c r="X9" s="81">
        <v>8.0555555555555561E-2</v>
      </c>
      <c r="Y9" t="s">
        <v>351</v>
      </c>
      <c r="Z9" s="81">
        <v>0.15625</v>
      </c>
      <c r="AA9" t="s">
        <v>304</v>
      </c>
      <c r="AB9" s="81">
        <v>8.9583333333333334E-2</v>
      </c>
      <c r="AC9" t="s">
        <v>288</v>
      </c>
      <c r="AD9" s="81">
        <v>4.5833333333333337E-2</v>
      </c>
      <c r="AE9" t="s">
        <v>257</v>
      </c>
      <c r="AF9" s="81">
        <v>1.3888888888888888E-2</v>
      </c>
      <c r="AG9" t="s">
        <v>208</v>
      </c>
      <c r="AH9" s="81">
        <v>6.9444444444444434E-2</v>
      </c>
      <c r="AI9" s="87" t="s">
        <v>149</v>
      </c>
      <c r="AJ9" s="81">
        <v>1.3888888888888888E-2</v>
      </c>
      <c r="AK9" t="s">
        <v>107</v>
      </c>
      <c r="AL9" s="81">
        <v>0.12152777777777778</v>
      </c>
    </row>
    <row r="10" spans="1:40" x14ac:dyDescent="0.25">
      <c r="B10" s="198" t="s">
        <v>3</v>
      </c>
      <c r="C10" s="193">
        <f>SUMIF(AG:AG,"*[Implementierung]*",AH:AH)</f>
        <v>0.37361111111111112</v>
      </c>
      <c r="D10" s="193">
        <f>SUMIF(AG:AG,"*[Testen]*",AH:AH)</f>
        <v>0</v>
      </c>
      <c r="E10" s="193">
        <f>SUMIF(AG:AG,"*[Entwurf]*",AH:AH)</f>
        <v>0</v>
      </c>
      <c r="F10" s="193">
        <f>SUMIF(AG:AG,"*[Recherche]*",AH:AH)</f>
        <v>4.7222222222222221E-2</v>
      </c>
      <c r="G10" s="193">
        <f>SUMIF(AG:AG,"*[Organisation]*",AH:AH)</f>
        <v>6.9444444444444434E-2</v>
      </c>
      <c r="H10" s="193">
        <f>SUMIF(Meetings!L4:L11,"*Gutsche*",Meetings!K4:K11)</f>
        <v>7.6388888888888881E-2</v>
      </c>
      <c r="I10" s="194">
        <f>SUM(C10:H11)</f>
        <v>0.56666666666666665</v>
      </c>
      <c r="O10" t="s">
        <v>484</v>
      </c>
      <c r="P10" s="81">
        <v>1.3888888888888888E-2</v>
      </c>
      <c r="Q10" t="s">
        <v>461</v>
      </c>
      <c r="R10" s="81">
        <v>1.5277777777777777E-2</v>
      </c>
      <c r="U10" t="s">
        <v>413</v>
      </c>
      <c r="V10" s="81">
        <v>6.9444444444444441E-3</v>
      </c>
      <c r="W10" t="s">
        <v>383</v>
      </c>
      <c r="X10" s="81">
        <v>4.8611111111111112E-2</v>
      </c>
      <c r="AA10" t="s">
        <v>306</v>
      </c>
      <c r="AB10" s="81">
        <v>8.3333333333333329E-2</v>
      </c>
      <c r="AC10" t="s">
        <v>286</v>
      </c>
      <c r="AD10" s="81">
        <v>0.11180555555555556</v>
      </c>
      <c r="AG10" t="s">
        <v>209</v>
      </c>
      <c r="AH10" s="81">
        <v>2.7777777777777776E-2</v>
      </c>
      <c r="AI10" s="87" t="s">
        <v>150</v>
      </c>
      <c r="AJ10" s="81">
        <v>3.4722222222222224E-2</v>
      </c>
      <c r="AK10" t="s">
        <v>108</v>
      </c>
      <c r="AL10" s="81">
        <v>0.16180555555555556</v>
      </c>
    </row>
    <row r="11" spans="1:40" x14ac:dyDescent="0.25">
      <c r="B11" s="198"/>
      <c r="C11" s="193"/>
      <c r="D11" s="193"/>
      <c r="E11" s="193"/>
      <c r="F11" s="193"/>
      <c r="G11" s="193"/>
      <c r="H11" s="193"/>
      <c r="I11" s="194"/>
      <c r="Q11" t="s">
        <v>462</v>
      </c>
      <c r="R11" s="81">
        <v>2.4999999999999998E-2</v>
      </c>
      <c r="U11" t="s">
        <v>415</v>
      </c>
      <c r="V11" s="81">
        <v>4.0972222222222222E-2</v>
      </c>
      <c r="W11" t="s">
        <v>386</v>
      </c>
      <c r="X11" s="81">
        <v>0.13819444444444443</v>
      </c>
      <c r="AA11" t="s">
        <v>321</v>
      </c>
      <c r="AB11" s="81">
        <v>9.7222222222222224E-2</v>
      </c>
      <c r="AC11" s="35" t="s">
        <v>256</v>
      </c>
      <c r="AD11" s="81">
        <v>1.8055555555555557E-2</v>
      </c>
      <c r="AG11" t="s">
        <v>210</v>
      </c>
      <c r="AH11" s="81">
        <v>4.7222222222222221E-2</v>
      </c>
      <c r="AI11" s="87" t="s">
        <v>149</v>
      </c>
      <c r="AJ11" s="81">
        <v>1.0416666666666666E-2</v>
      </c>
      <c r="AK11" t="s">
        <v>87</v>
      </c>
      <c r="AL11" s="81">
        <v>6.25E-2</v>
      </c>
    </row>
    <row r="12" spans="1:40" x14ac:dyDescent="0.25">
      <c r="B12" s="198" t="s">
        <v>4</v>
      </c>
      <c r="C12" s="193">
        <f>SUMIF(AE:AE,"*[Implementierung]*",AF:AF)</f>
        <v>0.37986111111111109</v>
      </c>
      <c r="D12" s="193">
        <f>SUMIF(AE:AE,"*[Testen]*",AF:AF)</f>
        <v>0</v>
      </c>
      <c r="E12" s="193">
        <f>SUMIF(AE:AE,"*[Entwurf]*",AF:AF)</f>
        <v>0</v>
      </c>
      <c r="F12" s="193">
        <f>SUMIF(AE:AE,"*[Recherche]*",AF:AF)</f>
        <v>0</v>
      </c>
      <c r="G12" s="193">
        <f>SUMIF(AE:AE,"*[Organisation]*",AF:AF)</f>
        <v>7.2916666666666671E-2</v>
      </c>
      <c r="H12" s="193">
        <f>SUMIF(Meetings!O4:O11,"*Gutsche*",Meetings!N4:N11)</f>
        <v>6.041666666666666E-2</v>
      </c>
      <c r="I12" s="194">
        <f>SUM(C12:H13)</f>
        <v>0.5131944444444444</v>
      </c>
      <c r="U12" t="s">
        <v>419</v>
      </c>
      <c r="V12" s="81">
        <v>5.5555555555555552E-2</v>
      </c>
      <c r="W12" t="s">
        <v>387</v>
      </c>
      <c r="X12" s="81">
        <v>3.4722222222222224E-2</v>
      </c>
      <c r="AA12" t="s">
        <v>315</v>
      </c>
      <c r="AB12" s="81">
        <v>1.7361111111111112E-2</v>
      </c>
      <c r="AG12" t="s">
        <v>211</v>
      </c>
      <c r="AH12" s="81">
        <v>1.7361111111111112E-2</v>
      </c>
      <c r="AI12" s="87" t="s">
        <v>151</v>
      </c>
      <c r="AJ12" s="81">
        <v>5.2083333333333336E-2</v>
      </c>
    </row>
    <row r="13" spans="1:40" x14ac:dyDescent="0.25">
      <c r="B13" s="198"/>
      <c r="C13" s="193"/>
      <c r="D13" s="193"/>
      <c r="E13" s="193"/>
      <c r="F13" s="193"/>
      <c r="G13" s="193"/>
      <c r="H13" s="193"/>
      <c r="I13" s="194"/>
      <c r="AA13" t="s">
        <v>316</v>
      </c>
      <c r="AB13" s="81">
        <v>0.20902777777777778</v>
      </c>
      <c r="AG13" t="s">
        <v>206</v>
      </c>
      <c r="AH13" s="81">
        <v>8.1944444444444445E-2</v>
      </c>
      <c r="AI13" s="87" t="s">
        <v>152</v>
      </c>
      <c r="AJ13" s="81">
        <v>6.25E-2</v>
      </c>
    </row>
    <row r="14" spans="1:40" x14ac:dyDescent="0.25">
      <c r="B14" s="198" t="s">
        <v>5</v>
      </c>
      <c r="C14" s="193">
        <f>SUMIF(AC:AC,"*[Implementierung]*",AD:AD)</f>
        <v>0.3298611111111111</v>
      </c>
      <c r="D14" s="193">
        <f>SUMIF(AC:AC,"*[Testen]*",AD:AD)</f>
        <v>0</v>
      </c>
      <c r="E14" s="193">
        <f>SUMIF(AC:AC,"*[Entwurf]*",AD:AD)</f>
        <v>0</v>
      </c>
      <c r="F14" s="193">
        <f>SUMIF(AC:AC,"*[Recherche]*",AD:AD)</f>
        <v>0</v>
      </c>
      <c r="G14" s="193">
        <f>SUMIF(AC:AC,"*[Organisation]*",AD:AD)</f>
        <v>8.6805555555555552E-2</v>
      </c>
      <c r="H14" s="193">
        <f>SUMIF(Meetings!R4:R11,"*Gutsche*",Meetings!Q4:Q11)</f>
        <v>0.11458333333333331</v>
      </c>
      <c r="I14" s="194">
        <f>SUM(C14:H15)</f>
        <v>0.53125</v>
      </c>
      <c r="AA14" t="s">
        <v>317</v>
      </c>
      <c r="AB14" s="81">
        <v>5.0694444444444452E-2</v>
      </c>
    </row>
    <row r="15" spans="1:40" x14ac:dyDescent="0.25">
      <c r="B15" s="198"/>
      <c r="C15" s="193"/>
      <c r="D15" s="193"/>
      <c r="E15" s="193"/>
      <c r="F15" s="193"/>
      <c r="G15" s="193"/>
      <c r="H15" s="193"/>
      <c r="I15" s="194"/>
    </row>
    <row r="16" spans="1:40" x14ac:dyDescent="0.25">
      <c r="B16" s="198" t="s">
        <v>6</v>
      </c>
      <c r="C16" s="193">
        <f>SUMIF(AA:AA,"*[Implementierung]*",AB:AB)</f>
        <v>0.68611111111111112</v>
      </c>
      <c r="D16" s="193">
        <f>SUMIF(AA:AA,"*[Testen]*",AB:AB)</f>
        <v>0</v>
      </c>
      <c r="E16" s="193">
        <f>SUMIF(AA:AA,"*[Entwurf]*",AB:AB)</f>
        <v>0</v>
      </c>
      <c r="F16" s="193">
        <f>SUMIF(AA:AA,"*[Recherche]*",AB:AB)</f>
        <v>0</v>
      </c>
      <c r="G16" s="193">
        <f>SUMIF(AA:AA,"*[Organisation]*",AB:AB)</f>
        <v>0.2048611111111111</v>
      </c>
      <c r="H16" s="193">
        <f>SUMIF(Meetings!U4:U11,"*Gutsche*",Meetings!T4:T11)</f>
        <v>7.6388888888888895E-2</v>
      </c>
      <c r="I16" s="194">
        <f>SUM(C16:H17)</f>
        <v>0.96736111111111112</v>
      </c>
    </row>
    <row r="17" spans="2:9" x14ac:dyDescent="0.25">
      <c r="B17" s="198"/>
      <c r="C17" s="193"/>
      <c r="D17" s="193"/>
      <c r="E17" s="193"/>
      <c r="F17" s="193"/>
      <c r="G17" s="193"/>
      <c r="H17" s="193"/>
      <c r="I17" s="194"/>
    </row>
    <row r="18" spans="2:9" x14ac:dyDescent="0.25">
      <c r="B18" s="198" t="s">
        <v>28</v>
      </c>
      <c r="C18" s="193">
        <f>SUMIF(Y:Y,"*[Implementierung]*",Z:Z)</f>
        <v>0.3576388888888889</v>
      </c>
      <c r="D18" s="193">
        <f>SUMIF(Y:Y,"*[Testen]*",Z:Z)</f>
        <v>0</v>
      </c>
      <c r="E18" s="193">
        <f>SUMIF(Y:Y,"*[Entwurf]*",Z:Z)</f>
        <v>0</v>
      </c>
      <c r="F18" s="193">
        <f>SUMIF(Y:Y,"*[Recherche]*",Z:Z)</f>
        <v>8.2638888888888887E-2</v>
      </c>
      <c r="G18" s="193">
        <f>SUMIF(Y:Y,"*[Organisation]*",Z:Z)</f>
        <v>5.5555555555555552E-2</v>
      </c>
      <c r="H18" s="193">
        <f>SUMIF(Meetings!C14:C21,"*Gutsche*",Meetings!B14:B21)</f>
        <v>0.2326388888888889</v>
      </c>
      <c r="I18" s="194">
        <f>SUM(C18:H19)</f>
        <v>0.72847222222222219</v>
      </c>
    </row>
    <row r="19" spans="2:9" x14ac:dyDescent="0.25">
      <c r="B19" s="198"/>
      <c r="C19" s="193"/>
      <c r="D19" s="193"/>
      <c r="E19" s="193"/>
      <c r="F19" s="193"/>
      <c r="G19" s="193"/>
      <c r="H19" s="193"/>
      <c r="I19" s="194"/>
    </row>
    <row r="20" spans="2:9" x14ac:dyDescent="0.25">
      <c r="B20" s="198" t="s">
        <v>29</v>
      </c>
      <c r="C20" s="193">
        <f>SUMIF(W:W,"*[Implementierung]*",X:X)</f>
        <v>0.54791666666666661</v>
      </c>
      <c r="D20" s="193">
        <f>SUMIF(W:W,"*[Testen]*",X:X)</f>
        <v>0</v>
      </c>
      <c r="E20" s="193">
        <f>SUMIF(W:W,"*[Entwurf]*",X:X)</f>
        <v>0</v>
      </c>
      <c r="F20" s="193">
        <f>SUMIF(W:W,"*[Recherche]*",X:X)</f>
        <v>0</v>
      </c>
      <c r="G20" s="193">
        <f>SUMIF(W:W,"*[Organisation]*",X:X)</f>
        <v>3.4722222222222224E-2</v>
      </c>
      <c r="H20" s="193">
        <f>SUMIF(Meetings!F14:F21,"*Gutsche*",Meetings!E14:E21)</f>
        <v>0.10416666666666666</v>
      </c>
      <c r="I20" s="194">
        <f>SUM(C20:H21)</f>
        <v>0.68680555555555545</v>
      </c>
    </row>
    <row r="21" spans="2:9" x14ac:dyDescent="0.25">
      <c r="B21" s="198"/>
      <c r="C21" s="193"/>
      <c r="D21" s="193"/>
      <c r="E21" s="193"/>
      <c r="F21" s="193"/>
      <c r="G21" s="193"/>
      <c r="H21" s="193"/>
      <c r="I21" s="194"/>
    </row>
    <row r="22" spans="2:9" x14ac:dyDescent="0.25">
      <c r="B22" s="198" t="s">
        <v>30</v>
      </c>
      <c r="C22" s="193">
        <f>SUMIF(U:U,"*[Implementierung]*",V:V)</f>
        <v>0.33749999999999997</v>
      </c>
      <c r="D22" s="193">
        <f>SUMIF(U:U,"*[Testen]*",V:V)</f>
        <v>0</v>
      </c>
      <c r="E22" s="193">
        <f>SUMIF(U:U,"*[Entwurf]*",V:V)</f>
        <v>0</v>
      </c>
      <c r="F22" s="193">
        <f>SUMIF(U:U,"*[Recherche]*",V:V)</f>
        <v>5.5555555555555552E-2</v>
      </c>
      <c r="G22" s="193">
        <f>SUMIF(U:U,"*[Organisation]*",V:V)</f>
        <v>7.6388888888888895E-2</v>
      </c>
      <c r="H22" s="193">
        <f>SUMIF(Meetings!I14:I21,"*Gutsche*",Meetings!H14:H21)</f>
        <v>7.6388888888888881E-2</v>
      </c>
      <c r="I22" s="194">
        <f>SUM(C22:H23)</f>
        <v>0.54583333333333328</v>
      </c>
    </row>
    <row r="23" spans="2:9" x14ac:dyDescent="0.25">
      <c r="B23" s="198"/>
      <c r="C23" s="193"/>
      <c r="D23" s="193"/>
      <c r="E23" s="193"/>
      <c r="F23" s="193"/>
      <c r="G23" s="193"/>
      <c r="H23" s="193"/>
      <c r="I23" s="194"/>
    </row>
    <row r="24" spans="2:9" x14ac:dyDescent="0.25">
      <c r="B24" s="198" t="s">
        <v>31</v>
      </c>
      <c r="C24" s="193">
        <f>SUMIF(S:S,"*[Implementierung]*",T:T)</f>
        <v>0.56458333333333333</v>
      </c>
      <c r="D24" s="193">
        <f>SUMIF(S:S,"*[Testen]*",T:T)</f>
        <v>0</v>
      </c>
      <c r="E24" s="193">
        <f>SUMIF(S:S,"*[Entwurf]*",T:T)</f>
        <v>0</v>
      </c>
      <c r="F24" s="193">
        <f>SUMIF(S:S,"*[Recherche]*",T:T)</f>
        <v>0</v>
      </c>
      <c r="G24" s="193">
        <f>SUMIF(S:S,"*[Organisation]*",T:T)</f>
        <v>0</v>
      </c>
      <c r="H24" s="193">
        <f>SUMIF(Meetings!L14:L21,"*Gutsche*",Meetings!K14:K21)</f>
        <v>0.11944444444444444</v>
      </c>
      <c r="I24" s="194">
        <f>SUM(C24:H25)</f>
        <v>0.68402777777777779</v>
      </c>
    </row>
    <row r="25" spans="2:9" x14ac:dyDescent="0.25">
      <c r="B25" s="198"/>
      <c r="C25" s="193"/>
      <c r="D25" s="193"/>
      <c r="E25" s="193"/>
      <c r="F25" s="193"/>
      <c r="G25" s="193"/>
      <c r="H25" s="193"/>
      <c r="I25" s="194"/>
    </row>
    <row r="26" spans="2:9" x14ac:dyDescent="0.25">
      <c r="B26" s="198" t="s">
        <v>32</v>
      </c>
      <c r="C26" s="193">
        <f>SUMIF(Q:Q,"*[Implementierung]*",R:R)</f>
        <v>0.31458333333333338</v>
      </c>
      <c r="D26" s="193">
        <f>SUMIF(Q:Q,"*[Testen]*",R:R)</f>
        <v>0</v>
      </c>
      <c r="E26" s="193">
        <f>SUMIF(Q:Q,"*[Entwurf]*",R:R)</f>
        <v>0</v>
      </c>
      <c r="F26" s="193">
        <f>SUMIF(Q:Q,"*[Recherche]*",R:R)</f>
        <v>0</v>
      </c>
      <c r="G26" s="193">
        <f>SUMIF(Q:Q,"*[Organisation]*",R:R)</f>
        <v>0.14583333333333334</v>
      </c>
      <c r="H26" s="193">
        <f>SUMIF(Meetings!O14:O21,"*Gutsche*",Meetings!N14:N21)</f>
        <v>7.6388888888888895E-2</v>
      </c>
      <c r="I26" s="194">
        <f>SUM(C26:H27)</f>
        <v>0.53680555555555554</v>
      </c>
    </row>
    <row r="27" spans="2:9" x14ac:dyDescent="0.25">
      <c r="B27" s="198"/>
      <c r="C27" s="193"/>
      <c r="D27" s="193"/>
      <c r="E27" s="193"/>
      <c r="F27" s="193"/>
      <c r="G27" s="193"/>
      <c r="H27" s="193"/>
      <c r="I27" s="194"/>
    </row>
    <row r="28" spans="2:9" x14ac:dyDescent="0.25">
      <c r="B28" s="198" t="s">
        <v>33</v>
      </c>
      <c r="C28" s="193">
        <f>SUMIF(O:O,"*[Implementierung]*",P:P)</f>
        <v>0.46736111111111106</v>
      </c>
      <c r="D28" s="193">
        <f>SUMIF(O:O,"*[Testen]*",P:P)</f>
        <v>0</v>
      </c>
      <c r="E28" s="193">
        <f>SUMIF(O:O,"*[Entwurf]*",P:P)</f>
        <v>0</v>
      </c>
      <c r="F28" s="193">
        <f>SUMIF(O:O,"*[Recherche]*",P:P)</f>
        <v>0</v>
      </c>
      <c r="G28" s="193">
        <f>SUMIF(O:O,"*[Organisation]*",P:P)</f>
        <v>7.8472222222222221E-2</v>
      </c>
      <c r="H28" s="193">
        <f>SUMIF(Meetings!R14:R21,"*Gutsche*",Meetings!Q14:Q21)</f>
        <v>4.5138888888888888E-2</v>
      </c>
      <c r="I28" s="194">
        <f>SUM(C28:H29)</f>
        <v>0.59097222222222212</v>
      </c>
    </row>
    <row r="29" spans="2:9" x14ac:dyDescent="0.25">
      <c r="B29" s="198"/>
      <c r="C29" s="193"/>
      <c r="D29" s="193"/>
      <c r="E29" s="193"/>
      <c r="F29" s="193"/>
      <c r="G29" s="193"/>
      <c r="H29" s="193"/>
      <c r="I29" s="194"/>
    </row>
    <row r="30" spans="2:9" x14ac:dyDescent="0.25">
      <c r="B30" s="198" t="s">
        <v>34</v>
      </c>
      <c r="C30" s="193">
        <f>SUMIF(M:M,"*[Implementierung]*",N:N)</f>
        <v>0.15763888888888888</v>
      </c>
      <c r="D30" s="193">
        <f>SUMIF(M:M,"*[Testen]*",N:N)</f>
        <v>0</v>
      </c>
      <c r="E30" s="193">
        <f>SUMIF(M:M,"*[Entwurf]*",N:N)</f>
        <v>0</v>
      </c>
      <c r="F30" s="193">
        <f>SUMIF(M:M,"*[Recherche]*",N:N)</f>
        <v>0</v>
      </c>
      <c r="G30" s="193">
        <f>SUMIF(M:M,"*[Organisation]*",N:N)</f>
        <v>0.19791666666666666</v>
      </c>
      <c r="H30" s="193">
        <f>SUMIF(Meetings!U14:U21,"*Gutsche*",Meetings!T14:T21)</f>
        <v>5.5555555555555552E-2</v>
      </c>
      <c r="I30" s="194">
        <f>SUM(C30:H31)</f>
        <v>0.41111111111111109</v>
      </c>
    </row>
    <row r="31" spans="2:9" x14ac:dyDescent="0.25">
      <c r="B31" s="198"/>
      <c r="C31" s="193"/>
      <c r="D31" s="193"/>
      <c r="E31" s="193"/>
      <c r="F31" s="193"/>
      <c r="G31" s="193"/>
      <c r="H31" s="193"/>
      <c r="I31" s="195"/>
    </row>
    <row r="32" spans="2:9" x14ac:dyDescent="0.25">
      <c r="B32" s="198" t="s">
        <v>392</v>
      </c>
      <c r="C32" s="193">
        <f>SUMIF(K:K,"*[Implementierung]*",L:L)</f>
        <v>8.3333333333333329E-2</v>
      </c>
      <c r="D32" s="193">
        <f>SUMIF(K:K,"*[Testen]*",L:L)</f>
        <v>0</v>
      </c>
      <c r="E32" s="193">
        <f>SUMIF(K:K,"*[Entwurf]*",L:L)</f>
        <v>0</v>
      </c>
      <c r="F32" s="193">
        <f>SUMIF(K:K,"*[Recherche]*",L:L)</f>
        <v>0</v>
      </c>
      <c r="G32" s="193">
        <f>SUMIF(K:K,"*[Organisation]*",L:L)</f>
        <v>0.34166666666666667</v>
      </c>
      <c r="H32" s="193">
        <f>SUMIF(Meetings!C24:C31,"*Gutsche*",Meetings!B24:B31)</f>
        <v>3.4722222222222224E-2</v>
      </c>
      <c r="I32" s="194">
        <f>SUM(C32:H33)</f>
        <v>0.4597222222222222</v>
      </c>
    </row>
    <row r="33" spans="2:9" x14ac:dyDescent="0.25">
      <c r="B33" s="198"/>
      <c r="C33" s="193"/>
      <c r="D33" s="193"/>
      <c r="E33" s="193"/>
      <c r="F33" s="193"/>
      <c r="G33" s="193"/>
      <c r="H33" s="193"/>
      <c r="I33" s="195"/>
    </row>
    <row r="34" spans="2:9" x14ac:dyDescent="0.25">
      <c r="B34" s="198" t="s">
        <v>393</v>
      </c>
      <c r="C34" s="193"/>
      <c r="D34" s="193"/>
      <c r="E34" s="193"/>
      <c r="F34" s="193"/>
      <c r="G34" s="193"/>
      <c r="H34" s="193">
        <f>SUMIF(Meetings!F24:F31,"*Gutsche*",Meetings!E24:E31)</f>
        <v>0.1388888888888889</v>
      </c>
      <c r="I34" s="194">
        <f>SUM(C34:H35)</f>
        <v>0.1388888888888889</v>
      </c>
    </row>
    <row r="35" spans="2:9" x14ac:dyDescent="0.25">
      <c r="B35" s="198"/>
      <c r="C35" s="193"/>
      <c r="D35" s="193"/>
      <c r="E35" s="193"/>
      <c r="F35" s="193"/>
      <c r="G35" s="193"/>
      <c r="H35" s="193"/>
      <c r="I35" s="195"/>
    </row>
    <row r="36" spans="2:9" x14ac:dyDescent="0.25">
      <c r="B36" s="198" t="s">
        <v>394</v>
      </c>
      <c r="C36" s="193"/>
      <c r="D36" s="193"/>
      <c r="E36" s="193"/>
      <c r="F36" s="193"/>
      <c r="G36" s="193"/>
      <c r="H36" s="193">
        <f>SUMIF(Meetings!I24:I31,"*Gutsche*",Meetings!H24:H31)</f>
        <v>0</v>
      </c>
      <c r="I36" s="194">
        <f>SUM(C36:H37)</f>
        <v>0</v>
      </c>
    </row>
    <row r="37" spans="2:9" ht="15.75" thickBot="1" x14ac:dyDescent="0.3">
      <c r="B37" s="198"/>
      <c r="C37" s="193"/>
      <c r="D37" s="193"/>
      <c r="E37" s="193"/>
      <c r="F37" s="193"/>
      <c r="G37" s="193"/>
      <c r="H37" s="193"/>
      <c r="I37" s="195"/>
    </row>
    <row r="38" spans="2:9" x14ac:dyDescent="0.25">
      <c r="B38" s="192" t="s">
        <v>43</v>
      </c>
      <c r="C38" s="194">
        <f t="shared" ref="C38:H38" si="0">SUM(C4:C31)</f>
        <v>5.4736111111111105</v>
      </c>
      <c r="D38" s="194">
        <f t="shared" si="0"/>
        <v>0</v>
      </c>
      <c r="E38" s="194">
        <f t="shared" si="0"/>
        <v>7.2916666666666671E-2</v>
      </c>
      <c r="F38" s="194">
        <f t="shared" si="0"/>
        <v>0.6645833333333333</v>
      </c>
      <c r="G38" s="194">
        <f t="shared" si="0"/>
        <v>1.1270833333333334</v>
      </c>
      <c r="H38" s="199">
        <f t="shared" si="0"/>
        <v>1.5388888888888888</v>
      </c>
      <c r="I38" s="201">
        <f>SUM(C38:H39)</f>
        <v>8.8770833333333314</v>
      </c>
    </row>
    <row r="39" spans="2:9" ht="15.75" thickBot="1" x14ac:dyDescent="0.3">
      <c r="B39" s="192"/>
      <c r="C39" s="192"/>
      <c r="D39" s="192"/>
      <c r="E39" s="192"/>
      <c r="F39" s="192"/>
      <c r="G39" s="192"/>
      <c r="H39" s="200"/>
      <c r="I39" s="202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AN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40" ht="26.25" x14ac:dyDescent="0.4">
      <c r="A1" s="190" t="s">
        <v>54</v>
      </c>
      <c r="B1" s="190"/>
      <c r="C1" s="190"/>
      <c r="K1" s="50" t="s">
        <v>56</v>
      </c>
      <c r="L1" s="2"/>
    </row>
    <row r="3" spans="1:40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392</v>
      </c>
      <c r="L3" s="58"/>
      <c r="M3" s="58" t="s">
        <v>34</v>
      </c>
      <c r="N3" s="58"/>
      <c r="O3" s="58" t="s">
        <v>33</v>
      </c>
      <c r="P3" s="58"/>
      <c r="Q3" s="58" t="s">
        <v>32</v>
      </c>
      <c r="R3" s="58"/>
      <c r="S3" s="58" t="s">
        <v>31</v>
      </c>
      <c r="T3" s="58"/>
      <c r="U3" s="58" t="s">
        <v>30</v>
      </c>
      <c r="V3" s="58"/>
      <c r="W3" s="58" t="s">
        <v>29</v>
      </c>
      <c r="X3" s="58"/>
      <c r="Y3" s="58" t="s">
        <v>28</v>
      </c>
      <c r="Z3" s="58"/>
      <c r="AA3" s="58" t="s">
        <v>6</v>
      </c>
      <c r="AB3" s="58"/>
      <c r="AC3" s="58" t="s">
        <v>5</v>
      </c>
      <c r="AD3" s="58"/>
      <c r="AE3" s="58" t="s">
        <v>4</v>
      </c>
      <c r="AF3" s="58"/>
      <c r="AG3" s="58" t="s">
        <v>3</v>
      </c>
      <c r="AH3" s="58"/>
      <c r="AI3" s="58" t="s">
        <v>2</v>
      </c>
      <c r="AJ3" s="58"/>
      <c r="AK3" s="58" t="s">
        <v>1</v>
      </c>
      <c r="AL3" s="58"/>
      <c r="AM3" s="47" t="s">
        <v>37</v>
      </c>
      <c r="AN3" s="47"/>
    </row>
    <row r="4" spans="1:40" x14ac:dyDescent="0.25">
      <c r="B4" s="196" t="s">
        <v>37</v>
      </c>
      <c r="C4" s="186">
        <f>SUMIF(AM:AM,"*[Implementierung]*",AN:AN)</f>
        <v>0</v>
      </c>
      <c r="D4" s="186">
        <f>SUMIF(AM:AM,"*[Testen]*",AN:AN)</f>
        <v>0</v>
      </c>
      <c r="E4" s="186">
        <f>SUMIF(AM:AM,"*[Entwurf]*",AN:AN)</f>
        <v>0</v>
      </c>
      <c r="F4" s="186">
        <f>SUMIF(AM:AM,"*[Recherche]*",AN:AN)</f>
        <v>0.33333333333333331</v>
      </c>
      <c r="G4" s="186">
        <f>SUMIF(AM:AM,"*[Organisation]*",AN:AN)</f>
        <v>0</v>
      </c>
      <c r="H4" s="186">
        <f>SUMIF(Meetings!C4:C11,"*Lapp*",Meetings!B4:B11)</f>
        <v>0.29166666666666669</v>
      </c>
      <c r="I4" s="194">
        <f>SUM(C4:H5)</f>
        <v>0.625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  <c r="AG4" s="48" t="s">
        <v>59</v>
      </c>
      <c r="AH4" s="48" t="s">
        <v>60</v>
      </c>
      <c r="AI4" s="48" t="s">
        <v>59</v>
      </c>
      <c r="AJ4" s="48" t="s">
        <v>60</v>
      </c>
      <c r="AK4" s="48" t="s">
        <v>59</v>
      </c>
      <c r="AL4" s="48" t="s">
        <v>60</v>
      </c>
      <c r="AM4" s="48" t="s">
        <v>59</v>
      </c>
      <c r="AN4" s="48" t="s">
        <v>60</v>
      </c>
    </row>
    <row r="5" spans="1:40" x14ac:dyDescent="0.25">
      <c r="B5" s="197"/>
      <c r="C5" s="186"/>
      <c r="D5" s="186"/>
      <c r="E5" s="186"/>
      <c r="F5" s="186"/>
      <c r="G5" s="186"/>
      <c r="H5" s="186"/>
      <c r="I5" s="194"/>
      <c r="K5" t="s">
        <v>513</v>
      </c>
      <c r="L5" s="81">
        <v>6.5972222222222224E-2</v>
      </c>
      <c r="M5" t="s">
        <v>358</v>
      </c>
      <c r="N5" s="81">
        <v>0.10416666666666667</v>
      </c>
      <c r="O5" t="s">
        <v>464</v>
      </c>
      <c r="P5" s="81">
        <v>7.2916666666666671E-2</v>
      </c>
      <c r="Q5" t="s">
        <v>448</v>
      </c>
      <c r="R5" s="81">
        <v>4.1666666666666664E-2</v>
      </c>
      <c r="S5" t="s">
        <v>387</v>
      </c>
      <c r="T5" s="81">
        <v>1.0416666666666666E-2</v>
      </c>
      <c r="U5" t="s">
        <v>387</v>
      </c>
      <c r="V5" s="81">
        <v>7.2916666666666671E-2</v>
      </c>
      <c r="W5" t="s">
        <v>359</v>
      </c>
      <c r="X5" s="81">
        <v>6.9444444444444434E-2</v>
      </c>
      <c r="Y5" t="s">
        <v>329</v>
      </c>
      <c r="Z5" s="81">
        <v>5.2083333333333336E-2</v>
      </c>
      <c r="AA5" t="s">
        <v>284</v>
      </c>
      <c r="AB5" s="81">
        <v>0.1875</v>
      </c>
      <c r="AC5" t="s">
        <v>272</v>
      </c>
      <c r="AD5" s="81">
        <v>8.3333333333333329E-2</v>
      </c>
      <c r="AE5" t="s">
        <v>236</v>
      </c>
      <c r="AF5" s="81">
        <v>2.7777777777777776E-2</v>
      </c>
      <c r="AG5" t="s">
        <v>212</v>
      </c>
      <c r="AH5" s="81">
        <v>8.3333333333333329E-2</v>
      </c>
      <c r="AI5" t="s">
        <v>145</v>
      </c>
      <c r="AJ5" s="81">
        <v>4.1666666666666664E-2</v>
      </c>
      <c r="AK5" t="s">
        <v>109</v>
      </c>
      <c r="AL5" s="81">
        <v>8.3333333333333329E-2</v>
      </c>
      <c r="AM5" s="2" t="s">
        <v>68</v>
      </c>
      <c r="AN5" s="85">
        <v>0.16666666666666666</v>
      </c>
    </row>
    <row r="6" spans="1:40" x14ac:dyDescent="0.25">
      <c r="B6" s="198" t="s">
        <v>1</v>
      </c>
      <c r="C6" s="193">
        <f>SUMIF(AK:AK,"*[Implementierung]*",AL:AL)</f>
        <v>0.41319444444444448</v>
      </c>
      <c r="D6" s="193">
        <f>SUMIF(AK:AK,"*[Testen]*",AL:AL)</f>
        <v>7.2916666666666671E-2</v>
      </c>
      <c r="E6" s="193">
        <f>SUMIF(AK:AK,"*[Entwurf]*",AL:AL)</f>
        <v>0.21875</v>
      </c>
      <c r="F6" s="193">
        <f>SUMIF(AK:AK,"*[Recherche]*",AL:AL)</f>
        <v>8.3333333333333329E-2</v>
      </c>
      <c r="G6" s="193">
        <f>SUMIF(AK:AK,"*[Organisation]*",AL:AL)</f>
        <v>0</v>
      </c>
      <c r="H6" s="193">
        <f>SUMIF(Meetings!F4:F11,"*Lapp*",Meetings!E4:E11)</f>
        <v>6.9444444444444448E-2</v>
      </c>
      <c r="I6" s="194">
        <f>SUM(C6:H7)</f>
        <v>0.85763888888888895</v>
      </c>
      <c r="K6" t="s">
        <v>510</v>
      </c>
      <c r="L6" s="81">
        <v>3.125E-2</v>
      </c>
      <c r="M6" t="s">
        <v>449</v>
      </c>
      <c r="N6" s="81">
        <v>2.0833333333333332E-2</v>
      </c>
      <c r="O6" t="s">
        <v>449</v>
      </c>
      <c r="P6" s="81">
        <v>6.25E-2</v>
      </c>
      <c r="Q6" t="s">
        <v>449</v>
      </c>
      <c r="R6" s="81">
        <v>4.8611111111111112E-2</v>
      </c>
      <c r="S6" t="s">
        <v>422</v>
      </c>
      <c r="T6" s="81">
        <v>8.3333333333333329E-2</v>
      </c>
      <c r="U6" t="s">
        <v>412</v>
      </c>
      <c r="V6" s="81">
        <v>0.20833333333333334</v>
      </c>
      <c r="W6" t="s">
        <v>360</v>
      </c>
      <c r="X6" s="81">
        <v>0.13541666666666666</v>
      </c>
      <c r="Y6" t="s">
        <v>327</v>
      </c>
      <c r="Z6" s="81">
        <v>0.10416666666666667</v>
      </c>
      <c r="AA6" t="s">
        <v>293</v>
      </c>
      <c r="AB6" s="81">
        <v>2.4305555555555556E-2</v>
      </c>
      <c r="AC6" t="s">
        <v>273</v>
      </c>
      <c r="AD6" s="81">
        <v>4.1666666666666664E-2</v>
      </c>
      <c r="AE6" t="s">
        <v>237</v>
      </c>
      <c r="AF6" s="81">
        <v>0.10416666666666667</v>
      </c>
      <c r="AG6" t="s">
        <v>213</v>
      </c>
      <c r="AH6" s="81">
        <v>0.10416666666666667</v>
      </c>
      <c r="AI6" t="s">
        <v>153</v>
      </c>
      <c r="AJ6" s="81">
        <v>0.16666666666666666</v>
      </c>
      <c r="AK6" t="s">
        <v>110</v>
      </c>
      <c r="AL6" s="81">
        <v>4.1666666666666664E-2</v>
      </c>
      <c r="AM6" s="2" t="s">
        <v>69</v>
      </c>
      <c r="AN6" s="85">
        <v>0.16666666666666666</v>
      </c>
    </row>
    <row r="7" spans="1:40" x14ac:dyDescent="0.25">
      <c r="B7" s="198"/>
      <c r="C7" s="193"/>
      <c r="D7" s="193"/>
      <c r="E7" s="193"/>
      <c r="F7" s="193"/>
      <c r="G7" s="193"/>
      <c r="H7" s="193"/>
      <c r="I7" s="194"/>
      <c r="K7" t="s">
        <v>511</v>
      </c>
      <c r="L7" s="81">
        <v>2.0833333333333332E-2</v>
      </c>
      <c r="M7" t="s">
        <v>495</v>
      </c>
      <c r="N7" s="81">
        <v>2.7777777777777776E-2</v>
      </c>
      <c r="O7" t="s">
        <v>448</v>
      </c>
      <c r="P7" s="81">
        <v>0.10416666666666667</v>
      </c>
      <c r="Q7" t="s">
        <v>451</v>
      </c>
      <c r="R7" s="81">
        <v>5.5555555555555552E-2</v>
      </c>
      <c r="S7" t="s">
        <v>431</v>
      </c>
      <c r="T7" s="81">
        <v>6.25E-2</v>
      </c>
      <c r="U7" t="s">
        <v>412</v>
      </c>
      <c r="V7" s="81">
        <v>5.5555555555555552E-2</v>
      </c>
      <c r="W7" t="s">
        <v>361</v>
      </c>
      <c r="X7" s="81">
        <v>6.25E-2</v>
      </c>
      <c r="Y7" t="s">
        <v>334</v>
      </c>
      <c r="Z7" s="81">
        <v>4.1666666666666664E-2</v>
      </c>
      <c r="AA7" t="s">
        <v>300</v>
      </c>
      <c r="AB7" s="81">
        <v>0.10416666666666667</v>
      </c>
      <c r="AC7" t="s">
        <v>274</v>
      </c>
      <c r="AD7" s="81">
        <v>4.1666666666666664E-2</v>
      </c>
      <c r="AE7" t="s">
        <v>239</v>
      </c>
      <c r="AF7" s="81">
        <v>0.10416666666666667</v>
      </c>
      <c r="AG7" t="s">
        <v>214</v>
      </c>
      <c r="AH7" s="81">
        <v>7.2916666666666671E-2</v>
      </c>
      <c r="AI7" t="s">
        <v>154</v>
      </c>
      <c r="AJ7" s="81">
        <v>0.10416666666666667</v>
      </c>
      <c r="AK7" t="s">
        <v>111</v>
      </c>
      <c r="AL7" s="81">
        <v>8.3333333333333329E-2</v>
      </c>
    </row>
    <row r="8" spans="1:40" x14ac:dyDescent="0.25">
      <c r="B8" s="198" t="s">
        <v>2</v>
      </c>
      <c r="C8" s="193">
        <f>SUMIF(AI:AI,"*[Implementierung]*",AJ:AJ)</f>
        <v>0.63888888888888884</v>
      </c>
      <c r="D8" s="193">
        <f>SUMIF(AI:AI,"*[Testen]*",AJ:AJ)</f>
        <v>2.0833333333333332E-2</v>
      </c>
      <c r="E8" s="193">
        <f>SUMIF(AI:AI,"*[Entwurf]*",AJ:AJ)</f>
        <v>5.2083333333333329E-2</v>
      </c>
      <c r="F8" s="193">
        <f>SUMIF(AI:AI,"*[Recherche]*",AJ:AJ)</f>
        <v>0</v>
      </c>
      <c r="G8" s="193">
        <f>SUMIF(AI:AI,"*[Organisation]*",AJ:AJ)</f>
        <v>5.5555555555555552E-2</v>
      </c>
      <c r="H8" s="193">
        <f>SUMIF(Meetings!I4:I11,"*Lapp*",Meetings!H4:H11)</f>
        <v>0.10416666666666666</v>
      </c>
      <c r="I8" s="194">
        <f>SUM(C8:H9)</f>
        <v>0.87152777777777779</v>
      </c>
      <c r="K8" t="s">
        <v>517</v>
      </c>
      <c r="L8" s="81">
        <v>0.16666666666666666</v>
      </c>
      <c r="M8" t="s">
        <v>496</v>
      </c>
      <c r="N8" s="81">
        <v>6.25E-2</v>
      </c>
      <c r="O8" t="s">
        <v>450</v>
      </c>
      <c r="P8" s="81">
        <v>5.5555555555555552E-2</v>
      </c>
      <c r="Q8" t="s">
        <v>433</v>
      </c>
      <c r="R8" s="81">
        <v>1.3888888888888888E-2</v>
      </c>
      <c r="S8" t="s">
        <v>435</v>
      </c>
      <c r="T8" s="81">
        <v>4.5138888888888888E-2</v>
      </c>
      <c r="U8" t="s">
        <v>417</v>
      </c>
      <c r="V8" s="81">
        <v>0.1388888888888889</v>
      </c>
      <c r="W8" t="s">
        <v>365</v>
      </c>
      <c r="X8" s="81">
        <v>0.10416666666666667</v>
      </c>
      <c r="Y8" t="s">
        <v>337</v>
      </c>
      <c r="Z8" s="81">
        <v>0.14583333333333334</v>
      </c>
      <c r="AA8" t="s">
        <v>306</v>
      </c>
      <c r="AB8" s="81">
        <v>8.3333333333333329E-2</v>
      </c>
      <c r="AC8" t="s">
        <v>275</v>
      </c>
      <c r="AD8" s="81">
        <v>0.16666666666666666</v>
      </c>
      <c r="AE8" t="s">
        <v>240</v>
      </c>
      <c r="AF8" s="81">
        <v>2.7777777777777776E-2</v>
      </c>
      <c r="AG8" t="s">
        <v>207</v>
      </c>
      <c r="AH8" s="81">
        <v>1.3888888888888888E-2</v>
      </c>
      <c r="AI8" t="s">
        <v>155</v>
      </c>
      <c r="AJ8" s="81">
        <v>1.3888888888888888E-2</v>
      </c>
      <c r="AK8" t="s">
        <v>112</v>
      </c>
      <c r="AL8" s="81">
        <v>2.0833333333333332E-2</v>
      </c>
    </row>
    <row r="9" spans="1:40" x14ac:dyDescent="0.25">
      <c r="B9" s="198"/>
      <c r="C9" s="193"/>
      <c r="D9" s="193"/>
      <c r="E9" s="193"/>
      <c r="F9" s="193"/>
      <c r="G9" s="193"/>
      <c r="H9" s="193"/>
      <c r="I9" s="194"/>
      <c r="M9" s="2" t="s">
        <v>233</v>
      </c>
      <c r="N9" s="81">
        <v>1.3888888888888888E-2</v>
      </c>
      <c r="O9" t="s">
        <v>451</v>
      </c>
      <c r="P9" s="81">
        <v>1.3888888888888888E-2</v>
      </c>
      <c r="Q9" t="s">
        <v>457</v>
      </c>
      <c r="R9" s="81">
        <v>1.3888888888888888E-2</v>
      </c>
      <c r="S9" t="s">
        <v>438</v>
      </c>
      <c r="T9" s="81">
        <v>0.11458333333333333</v>
      </c>
      <c r="U9" s="2" t="s">
        <v>233</v>
      </c>
      <c r="V9" s="81">
        <v>3.125E-2</v>
      </c>
      <c r="W9" t="s">
        <v>366</v>
      </c>
      <c r="X9" s="81">
        <v>8.3333333333333329E-2</v>
      </c>
      <c r="Y9" t="s">
        <v>339</v>
      </c>
      <c r="Z9" s="81">
        <v>2.7777777777777776E-2</v>
      </c>
      <c r="AA9" t="s">
        <v>307</v>
      </c>
      <c r="AB9" s="81">
        <v>2.0833333333333332E-2</v>
      </c>
      <c r="AC9" t="s">
        <v>276</v>
      </c>
      <c r="AD9" s="81">
        <v>2.7777777777777776E-2</v>
      </c>
      <c r="AE9" t="s">
        <v>241</v>
      </c>
      <c r="AF9" s="81">
        <v>0.10416666666666667</v>
      </c>
      <c r="AG9" t="s">
        <v>215</v>
      </c>
      <c r="AH9" s="81">
        <v>0.10416666666666667</v>
      </c>
      <c r="AI9" t="s">
        <v>156</v>
      </c>
      <c r="AJ9" s="81">
        <v>3.125E-2</v>
      </c>
      <c r="AK9" t="s">
        <v>113</v>
      </c>
      <c r="AL9" s="81">
        <v>2.7777777777777776E-2</v>
      </c>
    </row>
    <row r="10" spans="1:40" x14ac:dyDescent="0.25">
      <c r="B10" s="198" t="s">
        <v>3</v>
      </c>
      <c r="C10" s="193">
        <f>SUMIF(AG:AG,"*[Implementierung]*",AH:AH)</f>
        <v>0.51388888888888895</v>
      </c>
      <c r="D10" s="193">
        <f>SUMIF(AG:AG,"*[Testen]*",AH:AH)</f>
        <v>3.8194444444444448E-2</v>
      </c>
      <c r="E10" s="193">
        <f>SUMIF(AG:AG,"*[Entwurf]*",AH:AH)</f>
        <v>0</v>
      </c>
      <c r="F10" s="193">
        <f>SUMIF(AG:AG,"*[Recherche]*",AH:AH)</f>
        <v>7.2916666666666671E-2</v>
      </c>
      <c r="G10" s="193">
        <f>SUMIF(AG:AG,"*[Organisation]*",AH:AH)</f>
        <v>0</v>
      </c>
      <c r="H10" s="193">
        <f>SUMIF(Meetings!L4:L11,"*Lapp*",Meetings!K4:K11)</f>
        <v>0.10763888888888888</v>
      </c>
      <c r="I10" s="194">
        <f>SUM(C10:H11)</f>
        <v>0.73263888888888884</v>
      </c>
      <c r="M10" s="35" t="s">
        <v>464</v>
      </c>
      <c r="N10" s="81">
        <v>0.20833333333333334</v>
      </c>
      <c r="Q10" t="s">
        <v>458</v>
      </c>
      <c r="R10" s="81">
        <v>1.3888888888888888E-2</v>
      </c>
      <c r="S10" t="s">
        <v>442</v>
      </c>
      <c r="T10" s="81">
        <v>0.1388888888888889</v>
      </c>
      <c r="W10" t="s">
        <v>367</v>
      </c>
      <c r="X10" s="81">
        <v>6.25E-2</v>
      </c>
      <c r="Y10" t="s">
        <v>342</v>
      </c>
      <c r="Z10" s="81">
        <v>0.10416666666666667</v>
      </c>
      <c r="AA10" t="s">
        <v>308</v>
      </c>
      <c r="AB10" s="81">
        <v>0.10416666666666667</v>
      </c>
      <c r="AC10" t="s">
        <v>277</v>
      </c>
      <c r="AD10" s="81">
        <v>3.4722222222222224E-2</v>
      </c>
      <c r="AE10" t="s">
        <v>249</v>
      </c>
      <c r="AF10" s="81">
        <v>0.14583333333333334</v>
      </c>
      <c r="AG10" t="s">
        <v>216</v>
      </c>
      <c r="AH10" s="81">
        <v>7.2916666666666671E-2</v>
      </c>
      <c r="AI10" t="s">
        <v>157</v>
      </c>
      <c r="AJ10" s="81">
        <v>8.3333333333333329E-2</v>
      </c>
      <c r="AK10" t="s">
        <v>106</v>
      </c>
      <c r="AL10" s="81">
        <v>2.0833333333333332E-2</v>
      </c>
    </row>
    <row r="11" spans="1:40" x14ac:dyDescent="0.25">
      <c r="B11" s="198"/>
      <c r="C11" s="193"/>
      <c r="D11" s="193"/>
      <c r="E11" s="193"/>
      <c r="F11" s="193"/>
      <c r="G11" s="193"/>
      <c r="H11" s="193"/>
      <c r="I11" s="194"/>
      <c r="M11" s="35" t="s">
        <v>498</v>
      </c>
      <c r="N11" s="81">
        <v>5.5555555555555552E-2</v>
      </c>
      <c r="W11" t="s">
        <v>375</v>
      </c>
      <c r="X11" s="81">
        <v>3.4722222222222224E-2</v>
      </c>
      <c r="Y11" t="s">
        <v>344</v>
      </c>
      <c r="Z11" s="81">
        <v>2.7777777777777776E-2</v>
      </c>
      <c r="AA11" s="2" t="s">
        <v>233</v>
      </c>
      <c r="AB11" s="81">
        <v>3.472222222222222E-3</v>
      </c>
      <c r="AC11" t="s">
        <v>284</v>
      </c>
      <c r="AD11" s="81">
        <v>0.10416666666666667</v>
      </c>
      <c r="AE11" t="s">
        <v>250</v>
      </c>
      <c r="AF11" s="81">
        <v>6.25E-2</v>
      </c>
      <c r="AG11" t="s">
        <v>217</v>
      </c>
      <c r="AH11" s="81">
        <v>0.13541666666666666</v>
      </c>
      <c r="AI11" t="s">
        <v>158</v>
      </c>
      <c r="AJ11" s="81">
        <v>2.0833333333333332E-2</v>
      </c>
      <c r="AK11" t="s">
        <v>114</v>
      </c>
      <c r="AL11" s="81">
        <v>3.125E-2</v>
      </c>
    </row>
    <row r="12" spans="1:40" x14ac:dyDescent="0.25">
      <c r="B12" s="198" t="s">
        <v>4</v>
      </c>
      <c r="C12" s="193">
        <f>SUMIF(AE:AE,"*[Implementierung]*",AF:AF)</f>
        <v>0.43055555555555558</v>
      </c>
      <c r="D12" s="193">
        <f>SUMIF(AE:AE,"*[Testen]*",AF:AF)</f>
        <v>0</v>
      </c>
      <c r="E12" s="193">
        <f>SUMIF(AE:AE,"*[Entwurf]*",AF:AF)</f>
        <v>0</v>
      </c>
      <c r="F12" s="193">
        <f>SUMIF(AE:AE,"*[Recherche]*",AF:AF)</f>
        <v>0.25</v>
      </c>
      <c r="G12" s="193">
        <f>SUMIF(AE:AE,"*[Organisation]*",AF:AF)</f>
        <v>1.7361111111111112E-2</v>
      </c>
      <c r="H12" s="193">
        <f>SUMIF(Meetings!O4:O11,"*Lapp*",Meetings!N4:N11)</f>
        <v>8.1249999999999989E-2</v>
      </c>
      <c r="I12" s="194">
        <f>SUM(C12:H13)</f>
        <v>0.77916666666666679</v>
      </c>
      <c r="W12" t="s">
        <v>386</v>
      </c>
      <c r="X12" s="81">
        <v>8.3333333333333329E-2</v>
      </c>
      <c r="Y12" t="s">
        <v>345</v>
      </c>
      <c r="Z12" s="81">
        <v>8.3333333333333329E-2</v>
      </c>
      <c r="AA12" t="s">
        <v>323</v>
      </c>
      <c r="AB12" s="81">
        <v>0.11458333333333333</v>
      </c>
      <c r="AC12" s="2" t="s">
        <v>233</v>
      </c>
      <c r="AD12" s="81">
        <v>9.0277777777777776E-2</v>
      </c>
      <c r="AE12" t="s">
        <v>251</v>
      </c>
      <c r="AF12" s="81">
        <v>0.10416666666666667</v>
      </c>
      <c r="AG12" t="s">
        <v>218</v>
      </c>
      <c r="AH12" s="81">
        <v>3.125E-2</v>
      </c>
      <c r="AI12" t="s">
        <v>159</v>
      </c>
      <c r="AJ12" s="81">
        <v>3.125E-2</v>
      </c>
      <c r="AK12" t="s">
        <v>115</v>
      </c>
      <c r="AL12" s="81">
        <v>0.10416666666666667</v>
      </c>
    </row>
    <row r="13" spans="1:40" x14ac:dyDescent="0.25">
      <c r="B13" s="198"/>
      <c r="C13" s="193"/>
      <c r="D13" s="193"/>
      <c r="E13" s="193"/>
      <c r="F13" s="193"/>
      <c r="G13" s="193"/>
      <c r="H13" s="193"/>
      <c r="I13" s="194"/>
      <c r="W13" s="2" t="s">
        <v>233</v>
      </c>
      <c r="X13" s="81">
        <v>1.0416666666666666E-2</v>
      </c>
      <c r="Y13" t="s">
        <v>346</v>
      </c>
      <c r="Z13" s="81">
        <v>8.3333333333333329E-2</v>
      </c>
      <c r="AE13" t="s">
        <v>255</v>
      </c>
      <c r="AF13" s="81">
        <v>1.7361111111111112E-2</v>
      </c>
      <c r="AG13" t="s">
        <v>233</v>
      </c>
      <c r="AH13" s="81">
        <v>6.9444444444444441E-3</v>
      </c>
      <c r="AI13" t="s">
        <v>160</v>
      </c>
      <c r="AJ13" s="81">
        <v>1.3888888888888888E-2</v>
      </c>
      <c r="AK13" t="s">
        <v>116</v>
      </c>
      <c r="AL13" s="81">
        <v>7.2916666666666671E-2</v>
      </c>
    </row>
    <row r="14" spans="1:40" x14ac:dyDescent="0.25">
      <c r="B14" s="198" t="s">
        <v>5</v>
      </c>
      <c r="C14" s="193">
        <f>SUMIF(AC:AC,"*[Implementierung]*",AD:AD)</f>
        <v>0.4236111111111111</v>
      </c>
      <c r="D14" s="193">
        <f>SUMIF(AC:AC,"*[Testen]*",AD:AD)</f>
        <v>9.0277777777777776E-2</v>
      </c>
      <c r="E14" s="193">
        <f>SUMIF(AC:AC,"*[Entwurf]*",AD:AD)</f>
        <v>4.1666666666666664E-2</v>
      </c>
      <c r="F14" s="193">
        <f>SUMIF(AC:AC,"*[Recherche]*",AD:AD)</f>
        <v>0</v>
      </c>
      <c r="G14" s="193">
        <f>SUMIF(AC:AC,"*[Organisation]*",AD:AD)</f>
        <v>3.4722222222222224E-2</v>
      </c>
      <c r="H14" s="193">
        <f>SUMIF(Meetings!R4:R11,"*Lapp*",Meetings!Q4:Q11)</f>
        <v>0.12847222222222221</v>
      </c>
      <c r="I14" s="194">
        <f>SUM(C14:H15)</f>
        <v>0.71874999999999989</v>
      </c>
      <c r="Y14" s="2" t="s">
        <v>233</v>
      </c>
      <c r="Z14" s="81">
        <v>5.4166666666666669E-2</v>
      </c>
      <c r="AI14" t="s">
        <v>161</v>
      </c>
      <c r="AJ14" s="81">
        <v>2.7777777777777776E-2</v>
      </c>
      <c r="AK14" t="s">
        <v>117</v>
      </c>
      <c r="AL14" s="81">
        <v>1.0416666666666666E-2</v>
      </c>
    </row>
    <row r="15" spans="1:40" x14ac:dyDescent="0.25">
      <c r="B15" s="198"/>
      <c r="C15" s="193"/>
      <c r="D15" s="193"/>
      <c r="E15" s="193"/>
      <c r="F15" s="193"/>
      <c r="G15" s="193"/>
      <c r="H15" s="193"/>
      <c r="I15" s="194"/>
      <c r="AI15" t="s">
        <v>162</v>
      </c>
      <c r="AJ15" s="81">
        <v>6.25E-2</v>
      </c>
      <c r="AK15" t="s">
        <v>118</v>
      </c>
      <c r="AL15" s="46">
        <v>0.16666666666666666</v>
      </c>
    </row>
    <row r="16" spans="1:40" x14ac:dyDescent="0.25">
      <c r="B16" s="198" t="s">
        <v>6</v>
      </c>
      <c r="C16" s="193">
        <f>SUMIF(AA:AA,"*[Implementierung]*",AB:AB)</f>
        <v>0.41666666666666669</v>
      </c>
      <c r="D16" s="193">
        <f>SUMIF(AA:AA,"*[Testen]*",AB:AB)</f>
        <v>3.472222222222222E-3</v>
      </c>
      <c r="E16" s="193">
        <f>SUMIF(AA:AA,"*[Entwurf]*",AB:AB)</f>
        <v>0</v>
      </c>
      <c r="F16" s="193">
        <f>SUMIF(AA:AA,"*[Recherche]*",AB:AB)</f>
        <v>0</v>
      </c>
      <c r="G16" s="193">
        <f>SUMIF(AA:AA,"*[Organisation]*",AB:AB)</f>
        <v>0.10763888888888888</v>
      </c>
      <c r="H16" s="193">
        <f>SUMIF(Meetings!U4:U11,"*Lapp*",Meetings!T4:T11)</f>
        <v>7.6388888888888895E-2</v>
      </c>
      <c r="I16" s="194">
        <f>SUM(C16:H17)</f>
        <v>0.60416666666666674</v>
      </c>
      <c r="AI16" t="s">
        <v>163</v>
      </c>
      <c r="AJ16" s="81">
        <v>3.472222222222222E-3</v>
      </c>
      <c r="AK16" t="s">
        <v>119</v>
      </c>
      <c r="AL16" s="81">
        <v>8.3333333333333329E-2</v>
      </c>
    </row>
    <row r="17" spans="2:38" x14ac:dyDescent="0.25">
      <c r="B17" s="198"/>
      <c r="C17" s="193"/>
      <c r="D17" s="193"/>
      <c r="E17" s="193"/>
      <c r="F17" s="193"/>
      <c r="G17" s="193"/>
      <c r="H17" s="193"/>
      <c r="I17" s="194"/>
      <c r="AI17" t="s">
        <v>164</v>
      </c>
      <c r="AJ17" s="81">
        <v>4.8611111111111112E-2</v>
      </c>
      <c r="AK17" t="s">
        <v>120</v>
      </c>
      <c r="AL17" s="81">
        <v>4.1666666666666664E-2</v>
      </c>
    </row>
    <row r="18" spans="2:38" x14ac:dyDescent="0.25">
      <c r="B18" s="198" t="s">
        <v>28</v>
      </c>
      <c r="C18" s="193">
        <f>SUMIF(Y:Y,"*[Implementierung]*",Z:Z)</f>
        <v>0.47222222222222221</v>
      </c>
      <c r="D18" s="193">
        <f>SUMIF(Y:Y,"*[Testen]*",Z:Z)</f>
        <v>5.4166666666666669E-2</v>
      </c>
      <c r="E18" s="193">
        <f>SUMIF(Y:Y,"*[Entwurf]*",Z:Z)</f>
        <v>4.1666666666666664E-2</v>
      </c>
      <c r="F18" s="193">
        <f>SUMIF(Y:Y,"*[Recherche]*",Z:Z)</f>
        <v>0</v>
      </c>
      <c r="G18" s="193">
        <f>SUMIF(Y:Y,"*[Organisation]*",Z:Z)</f>
        <v>5.2083333333333336E-2</v>
      </c>
      <c r="H18" s="193">
        <f>SUMIF(Meetings!C14:C21,"*Lapp*",Meetings!B14:B21)</f>
        <v>0.2326388888888889</v>
      </c>
      <c r="I18" s="194">
        <f>SUM(C18:H19)</f>
        <v>0.85277777777777786</v>
      </c>
      <c r="AI18" t="s">
        <v>165</v>
      </c>
      <c r="AJ18" s="81">
        <v>1.0416666666666666E-2</v>
      </c>
    </row>
    <row r="19" spans="2:38" x14ac:dyDescent="0.25">
      <c r="B19" s="198"/>
      <c r="C19" s="193"/>
      <c r="D19" s="193"/>
      <c r="E19" s="193"/>
      <c r="F19" s="193"/>
      <c r="G19" s="193"/>
      <c r="H19" s="193"/>
      <c r="I19" s="194"/>
      <c r="AI19" t="s">
        <v>144</v>
      </c>
      <c r="AJ19" s="81">
        <v>8.3333333333333329E-2</v>
      </c>
    </row>
    <row r="20" spans="2:38" x14ac:dyDescent="0.25">
      <c r="B20" s="198" t="s">
        <v>29</v>
      </c>
      <c r="C20" s="193">
        <f>SUMIF(W:W,"*[Implementierung]*",X:X)</f>
        <v>0.63541666666666674</v>
      </c>
      <c r="D20" s="193">
        <f>SUMIF(W:W,"*[Testen]*",X:X)</f>
        <v>1.0416666666666666E-2</v>
      </c>
      <c r="E20" s="193">
        <f>SUMIF(W:W,"*[Entwurf]*",X:X)</f>
        <v>0</v>
      </c>
      <c r="F20" s="193">
        <f>SUMIF(W:W,"*[Recherche]*",X:X)</f>
        <v>0</v>
      </c>
      <c r="G20" s="193">
        <f>SUMIF(W:W,"*[Organisation]*",X:X)</f>
        <v>0</v>
      </c>
      <c r="H20" s="193">
        <f>SUMIF(Meetings!F14:F21,"*Lapp*",Meetings!E14:E21)</f>
        <v>0.10416666666666666</v>
      </c>
      <c r="I20" s="194">
        <f>SUM(C20:H21)</f>
        <v>0.75</v>
      </c>
      <c r="AI20" t="s">
        <v>166</v>
      </c>
      <c r="AJ20" s="81">
        <v>3.472222222222222E-3</v>
      </c>
    </row>
    <row r="21" spans="2:38" x14ac:dyDescent="0.25">
      <c r="B21" s="198"/>
      <c r="C21" s="193"/>
      <c r="D21" s="193"/>
      <c r="E21" s="193"/>
      <c r="F21" s="193"/>
      <c r="G21" s="193"/>
      <c r="H21" s="193"/>
      <c r="I21" s="194"/>
      <c r="AI21" t="s">
        <v>167</v>
      </c>
      <c r="AJ21" s="81">
        <v>6.9444444444444441E-3</v>
      </c>
    </row>
    <row r="22" spans="2:38" x14ac:dyDescent="0.25">
      <c r="B22" s="198" t="s">
        <v>30</v>
      </c>
      <c r="C22" s="193">
        <f>SUMIF(U:U,"*[Implementierung]*",V:V)</f>
        <v>0.40277777777777779</v>
      </c>
      <c r="D22" s="193">
        <f>SUMIF(U:U,"*[Testen]*",V:V)</f>
        <v>3.125E-2</v>
      </c>
      <c r="E22" s="193">
        <f>SUMIF(U:U,"*[Entwurf]*",V:V)</f>
        <v>0</v>
      </c>
      <c r="F22" s="193">
        <f>SUMIF(U:U,"*[Recherche]*",V:V)</f>
        <v>0</v>
      </c>
      <c r="G22" s="193">
        <f>SUMIF(U:U,"*[Organisation]*",V:V)</f>
        <v>7.2916666666666671E-2</v>
      </c>
      <c r="H22" s="193">
        <f>SUMIF(Meetings!I14:I21,"*Lapp*",Meetings!H14:H21)</f>
        <v>0.1111111111111111</v>
      </c>
      <c r="I22" s="194">
        <f>SUM(C22:H23)</f>
        <v>0.61805555555555558</v>
      </c>
      <c r="AI22" t="s">
        <v>168</v>
      </c>
      <c r="AJ22" s="81">
        <v>6.9444444444444441E-3</v>
      </c>
    </row>
    <row r="23" spans="2:38" x14ac:dyDescent="0.25">
      <c r="B23" s="198"/>
      <c r="C23" s="193"/>
      <c r="D23" s="193"/>
      <c r="E23" s="193"/>
      <c r="F23" s="193"/>
      <c r="G23" s="193"/>
      <c r="H23" s="193"/>
      <c r="I23" s="194"/>
      <c r="AI23" t="s">
        <v>169</v>
      </c>
      <c r="AJ23" s="81">
        <v>6.9444444444444441E-3</v>
      </c>
    </row>
    <row r="24" spans="2:38" x14ac:dyDescent="0.25">
      <c r="B24" s="198" t="s">
        <v>31</v>
      </c>
      <c r="C24" s="193">
        <f>SUMIF(S:S,"*[Implementierung]*",T:T)</f>
        <v>0.3298611111111111</v>
      </c>
      <c r="D24" s="193">
        <f>SUMIF(S:S,"*[Testen]*",T:T)</f>
        <v>0</v>
      </c>
      <c r="E24" s="193">
        <f>SUMIF(S:S,"*[Entwurf]*",T:T)</f>
        <v>0</v>
      </c>
      <c r="F24" s="193">
        <f>SUMIF(S:S,"*[Recherche]*",T:T)</f>
        <v>0.11458333333333333</v>
      </c>
      <c r="G24" s="193">
        <f>SUMIF(S:S,"*[Organisation]*",T:T)</f>
        <v>1.0416666666666666E-2</v>
      </c>
      <c r="H24" s="193">
        <f>SUMIF(Meetings!L14:L21,"*Lapp*",Meetings!K14:K21)</f>
        <v>0.11944444444444444</v>
      </c>
      <c r="I24" s="194">
        <f>SUM(C24:H25)</f>
        <v>0.57430555555555551</v>
      </c>
    </row>
    <row r="25" spans="2:38" x14ac:dyDescent="0.25">
      <c r="B25" s="198"/>
      <c r="C25" s="193"/>
      <c r="D25" s="193"/>
      <c r="E25" s="193"/>
      <c r="F25" s="193"/>
      <c r="G25" s="193"/>
      <c r="H25" s="193"/>
      <c r="I25" s="194"/>
    </row>
    <row r="26" spans="2:38" x14ac:dyDescent="0.25">
      <c r="B26" s="198" t="s">
        <v>32</v>
      </c>
      <c r="C26" s="193">
        <f>SUMIF(Q:Q,"*[Implementierung]*",R:R)</f>
        <v>0.1875</v>
      </c>
      <c r="D26" s="193">
        <f>SUMIF(Q:Q,"*[Testen]*",R:R)</f>
        <v>0</v>
      </c>
      <c r="E26" s="193">
        <f>SUMIF(Q:Q,"*[Entwurf]*",R:R)</f>
        <v>0</v>
      </c>
      <c r="F26" s="193">
        <f>SUMIF(Q:Q,"*[Recherche]*",R:R)</f>
        <v>0</v>
      </c>
      <c r="G26" s="193">
        <f>SUMIF(Q:Q,"*[Organisation]*",R:R)</f>
        <v>0</v>
      </c>
      <c r="H26" s="193">
        <f>SUMIF(Meetings!O14:O21,"*Lapp*",Meetings!N14:N21)</f>
        <v>7.6388888888888895E-2</v>
      </c>
      <c r="I26" s="194">
        <f>SUM(C26:H27)</f>
        <v>0.2638888888888889</v>
      </c>
    </row>
    <row r="27" spans="2:38" x14ac:dyDescent="0.25">
      <c r="B27" s="198"/>
      <c r="C27" s="193"/>
      <c r="D27" s="193"/>
      <c r="E27" s="193"/>
      <c r="F27" s="193"/>
      <c r="G27" s="193"/>
      <c r="H27" s="193"/>
      <c r="I27" s="194"/>
    </row>
    <row r="28" spans="2:38" x14ac:dyDescent="0.25">
      <c r="B28" s="198" t="s">
        <v>33</v>
      </c>
      <c r="C28" s="193">
        <f>SUMIF(O:O,"*[Implementierung]*",P:P)</f>
        <v>0.30902777777777785</v>
      </c>
      <c r="D28" s="193">
        <f>SUMIF(O:O,"*[Testen]*",P:P)</f>
        <v>0</v>
      </c>
      <c r="E28" s="193">
        <f>SUMIF(O:O,"*[Entwurf]*",P:P)</f>
        <v>0</v>
      </c>
      <c r="F28" s="193">
        <f>SUMIF(O:O,"*[Recherche]*",P:P)</f>
        <v>0</v>
      </c>
      <c r="G28" s="193">
        <f>SUMIF(O:O,"*[Organisation]*",P:P)</f>
        <v>0</v>
      </c>
      <c r="H28" s="193">
        <f>SUMIF(Meetings!R14:R21,"*Lapp*",Meetings!Q14:Q21)</f>
        <v>4.5138888888888888E-2</v>
      </c>
      <c r="I28" s="194">
        <f>SUM(C28:H29)</f>
        <v>0.35416666666666674</v>
      </c>
    </row>
    <row r="29" spans="2:38" x14ac:dyDescent="0.25">
      <c r="B29" s="198"/>
      <c r="C29" s="193"/>
      <c r="D29" s="193"/>
      <c r="E29" s="193"/>
      <c r="F29" s="193"/>
      <c r="G29" s="193"/>
      <c r="H29" s="193"/>
      <c r="I29" s="194"/>
    </row>
    <row r="30" spans="2:38" x14ac:dyDescent="0.25">
      <c r="B30" s="198" t="s">
        <v>34</v>
      </c>
      <c r="C30" s="193">
        <f>SUMIF(M:M,"*[Implementierung]*",N:N)</f>
        <v>0.375</v>
      </c>
      <c r="D30" s="193">
        <f>SUMIF(M:M,"*[Testen]*",N:N)</f>
        <v>1.3888888888888888E-2</v>
      </c>
      <c r="E30" s="193">
        <f>SUMIF(M:M,"*[Entwurf]*",N:N)</f>
        <v>0</v>
      </c>
      <c r="F30" s="193">
        <f>SUMIF(M:M,"*[Recherche]*",N:N)</f>
        <v>0</v>
      </c>
      <c r="G30" s="193">
        <f>SUMIF(M:M,"*[Organisation]*",N:N)</f>
        <v>0.10416666666666667</v>
      </c>
      <c r="H30" s="193">
        <f>SUMIF(Meetings!U14:U21,"*Lapp*",Meetings!T14:T21)</f>
        <v>5.5555555555555552E-2</v>
      </c>
      <c r="I30" s="194">
        <f>SUM(C30:H31)</f>
        <v>0.54861111111111116</v>
      </c>
    </row>
    <row r="31" spans="2:38" x14ac:dyDescent="0.25">
      <c r="B31" s="198"/>
      <c r="C31" s="193"/>
      <c r="D31" s="193"/>
      <c r="E31" s="193"/>
      <c r="F31" s="193"/>
      <c r="G31" s="193"/>
      <c r="H31" s="193"/>
      <c r="I31" s="195"/>
    </row>
    <row r="32" spans="2:38" x14ac:dyDescent="0.25">
      <c r="B32" s="198" t="s">
        <v>392</v>
      </c>
      <c r="C32" s="193">
        <f>SUMIF(K:K,"*[Implementierung]*",L:L)</f>
        <v>5.2083333333333329E-2</v>
      </c>
      <c r="D32" s="193">
        <f>SUMIF(K:K,"*[Testen]*",L:L)</f>
        <v>0</v>
      </c>
      <c r="E32" s="193">
        <f>SUMIF(K:K,"*[Entwurf]*",L:L)</f>
        <v>0</v>
      </c>
      <c r="F32" s="193">
        <f>SUMIF(K:K,"*[Recherche]*",L:L)</f>
        <v>0</v>
      </c>
      <c r="G32" s="193">
        <f>SUMIF(K:K,"*[Organisation]*",L:L)</f>
        <v>0.2326388888888889</v>
      </c>
      <c r="H32" s="193">
        <f>SUMIF(Meetings!C24:C31,"*Lapp*",Meetings!B24:B31)</f>
        <v>3.4722222222222224E-2</v>
      </c>
      <c r="I32" s="194">
        <f>SUM(C32:H33)</f>
        <v>0.31944444444444442</v>
      </c>
    </row>
    <row r="33" spans="2:9" x14ac:dyDescent="0.25">
      <c r="B33" s="198"/>
      <c r="C33" s="193"/>
      <c r="D33" s="193"/>
      <c r="E33" s="193"/>
      <c r="F33" s="193"/>
      <c r="G33" s="193"/>
      <c r="H33" s="193"/>
      <c r="I33" s="195"/>
    </row>
    <row r="34" spans="2:9" x14ac:dyDescent="0.25">
      <c r="B34" s="198" t="s">
        <v>393</v>
      </c>
      <c r="C34" s="193"/>
      <c r="D34" s="193"/>
      <c r="E34" s="193"/>
      <c r="F34" s="193"/>
      <c r="G34" s="193"/>
      <c r="H34" s="193">
        <f>SUMIF(Meetings!F24:F31,"*Lapp*",Meetings!E24:E31)</f>
        <v>0.1388888888888889</v>
      </c>
      <c r="I34" s="194">
        <f>SUM(C34:H35)</f>
        <v>0.1388888888888889</v>
      </c>
    </row>
    <row r="35" spans="2:9" x14ac:dyDescent="0.25">
      <c r="B35" s="198"/>
      <c r="C35" s="193"/>
      <c r="D35" s="193"/>
      <c r="E35" s="193"/>
      <c r="F35" s="193"/>
      <c r="G35" s="193"/>
      <c r="H35" s="193"/>
      <c r="I35" s="195"/>
    </row>
    <row r="36" spans="2:9" x14ac:dyDescent="0.25">
      <c r="B36" s="198" t="s">
        <v>394</v>
      </c>
      <c r="C36" s="193"/>
      <c r="D36" s="193"/>
      <c r="E36" s="193"/>
      <c r="F36" s="193"/>
      <c r="G36" s="193"/>
      <c r="H36" s="193">
        <f>SUMIF(Meetings!I24:I31,"*Lapp*",Meetings!H24:H31)</f>
        <v>0</v>
      </c>
      <c r="I36" s="194">
        <f>SUM(C36:H37)</f>
        <v>0</v>
      </c>
    </row>
    <row r="37" spans="2:9" ht="15.75" thickBot="1" x14ac:dyDescent="0.3">
      <c r="B37" s="198"/>
      <c r="C37" s="193"/>
      <c r="D37" s="193"/>
      <c r="E37" s="193"/>
      <c r="F37" s="193"/>
      <c r="G37" s="193"/>
      <c r="H37" s="193"/>
      <c r="I37" s="195"/>
    </row>
    <row r="38" spans="2:9" x14ac:dyDescent="0.25">
      <c r="B38" s="192" t="s">
        <v>43</v>
      </c>
      <c r="C38" s="194">
        <f t="shared" ref="C38:H38" si="0">SUM(C4:C31)</f>
        <v>5.5486111111111107</v>
      </c>
      <c r="D38" s="194">
        <f t="shared" si="0"/>
        <v>0.3354166666666667</v>
      </c>
      <c r="E38" s="194">
        <f t="shared" si="0"/>
        <v>0.35416666666666669</v>
      </c>
      <c r="F38" s="194">
        <f t="shared" si="0"/>
        <v>0.85416666666666663</v>
      </c>
      <c r="G38" s="194">
        <f t="shared" si="0"/>
        <v>0.45486111111111116</v>
      </c>
      <c r="H38" s="199">
        <f t="shared" si="0"/>
        <v>1.6034722222222222</v>
      </c>
      <c r="I38" s="201">
        <f>SUM(C38:H39)</f>
        <v>9.1506944444444454</v>
      </c>
    </row>
    <row r="39" spans="2:9" ht="15.75" thickBot="1" x14ac:dyDescent="0.3">
      <c r="B39" s="192"/>
      <c r="C39" s="192"/>
      <c r="D39" s="192"/>
      <c r="E39" s="192"/>
      <c r="F39" s="192"/>
      <c r="G39" s="192"/>
      <c r="H39" s="200"/>
      <c r="I39" s="202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AN39"/>
  <sheetViews>
    <sheetView workbookViewId="0">
      <selection activeCell="N3" sqref="N3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0.5703125" customWidth="1"/>
  </cols>
  <sheetData>
    <row r="1" spans="1:40" ht="26.25" x14ac:dyDescent="0.4">
      <c r="A1" s="190" t="s">
        <v>53</v>
      </c>
      <c r="B1" s="190"/>
      <c r="C1" s="190"/>
      <c r="K1" s="50" t="s">
        <v>56</v>
      </c>
      <c r="L1" s="2"/>
    </row>
    <row r="3" spans="1:40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392</v>
      </c>
      <c r="L3" s="58"/>
      <c r="M3" s="58" t="s">
        <v>34</v>
      </c>
      <c r="N3" s="58"/>
      <c r="O3" s="58" t="s">
        <v>33</v>
      </c>
      <c r="P3" s="58"/>
      <c r="Q3" s="58" t="s">
        <v>32</v>
      </c>
      <c r="R3" s="58"/>
      <c r="S3" s="58" t="s">
        <v>31</v>
      </c>
      <c r="T3" s="58"/>
      <c r="U3" s="58" t="s">
        <v>30</v>
      </c>
      <c r="V3" s="58"/>
      <c r="W3" s="58" t="s">
        <v>29</v>
      </c>
      <c r="X3" s="58"/>
      <c r="Y3" s="58" t="s">
        <v>28</v>
      </c>
      <c r="Z3" s="58"/>
      <c r="AA3" s="58" t="s">
        <v>6</v>
      </c>
      <c r="AB3" s="58"/>
      <c r="AC3" s="58" t="s">
        <v>5</v>
      </c>
      <c r="AD3" s="58"/>
      <c r="AE3" s="58" t="s">
        <v>4</v>
      </c>
      <c r="AF3" s="58"/>
      <c r="AG3" s="58" t="s">
        <v>3</v>
      </c>
      <c r="AH3" s="58"/>
      <c r="AI3" s="58" t="s">
        <v>2</v>
      </c>
      <c r="AJ3" s="58"/>
      <c r="AK3" s="58" t="s">
        <v>1</v>
      </c>
      <c r="AL3" s="58"/>
      <c r="AM3" s="47" t="s">
        <v>37</v>
      </c>
      <c r="AN3" s="47"/>
    </row>
    <row r="4" spans="1:40" x14ac:dyDescent="0.25">
      <c r="B4" s="196" t="s">
        <v>37</v>
      </c>
      <c r="C4" s="186">
        <f>SUMIF(AM:AM,"*[Implementierung]*",AN:AN)</f>
        <v>0</v>
      </c>
      <c r="D4" s="186">
        <f>SUMIF(AM:AM,"*[Testen]*",AN:AN)</f>
        <v>0</v>
      </c>
      <c r="E4" s="186">
        <f>SUMIF(AM:AM,"*[Entwurf]*",AN:AN)</f>
        <v>0.10416666666666667</v>
      </c>
      <c r="F4" s="186">
        <f>SUMIF(AM:AM,"*[Recherche]*",AN:AN)</f>
        <v>0.16666666666666666</v>
      </c>
      <c r="G4" s="186">
        <f>SUMIF(AM:AM,"*[Organisation]*",AN:AN)</f>
        <v>0</v>
      </c>
      <c r="H4" s="186">
        <f>SUMIF(Meetings!C4:C11,"*Martschenko*",Meetings!B4:B11)</f>
        <v>0.29166666666666669</v>
      </c>
      <c r="I4" s="194">
        <f>SUM(C4:H5)</f>
        <v>0.5625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  <c r="AG4" s="48" t="s">
        <v>59</v>
      </c>
      <c r="AH4" s="48" t="s">
        <v>60</v>
      </c>
      <c r="AI4" s="48" t="s">
        <v>59</v>
      </c>
      <c r="AJ4" s="48" t="s">
        <v>60</v>
      </c>
      <c r="AK4" s="48" t="s">
        <v>59</v>
      </c>
      <c r="AL4" s="48" t="s">
        <v>60</v>
      </c>
      <c r="AM4" s="48" t="s">
        <v>59</v>
      </c>
      <c r="AN4" s="48" t="s">
        <v>60</v>
      </c>
    </row>
    <row r="5" spans="1:40" x14ac:dyDescent="0.25">
      <c r="B5" s="197"/>
      <c r="C5" s="186"/>
      <c r="D5" s="186"/>
      <c r="E5" s="186"/>
      <c r="F5" s="186"/>
      <c r="G5" s="186"/>
      <c r="H5" s="186"/>
      <c r="I5" s="194"/>
      <c r="K5" t="s">
        <v>486</v>
      </c>
      <c r="L5" s="81">
        <v>0.1875</v>
      </c>
      <c r="M5" s="35" t="s">
        <v>486</v>
      </c>
      <c r="N5" s="81">
        <v>0.125</v>
      </c>
      <c r="O5" t="s">
        <v>466</v>
      </c>
      <c r="P5" s="81">
        <v>0.16666666666666666</v>
      </c>
      <c r="Q5" t="s">
        <v>447</v>
      </c>
      <c r="R5" s="81">
        <v>6.25E-2</v>
      </c>
      <c r="S5" t="s">
        <v>423</v>
      </c>
      <c r="T5" s="81">
        <v>5.2083333333333336E-2</v>
      </c>
      <c r="U5" t="s">
        <v>399</v>
      </c>
      <c r="V5" s="81">
        <v>8.3333333333333329E-2</v>
      </c>
      <c r="W5" t="s">
        <v>364</v>
      </c>
      <c r="X5" s="81">
        <v>6.25E-2</v>
      </c>
      <c r="Y5" t="s">
        <v>330</v>
      </c>
      <c r="Z5" s="81">
        <v>0.14583333333333334</v>
      </c>
      <c r="AA5" t="s">
        <v>296</v>
      </c>
      <c r="AB5" s="81">
        <v>0.125</v>
      </c>
      <c r="AC5" t="s">
        <v>278</v>
      </c>
      <c r="AD5" s="81">
        <v>0.16666666666666666</v>
      </c>
      <c r="AE5" t="s">
        <v>246</v>
      </c>
      <c r="AF5" s="81">
        <v>0.10416666666666667</v>
      </c>
      <c r="AG5" t="s">
        <v>219</v>
      </c>
      <c r="AH5" s="81">
        <v>5.5555555555555552E-2</v>
      </c>
      <c r="AI5" t="s">
        <v>170</v>
      </c>
      <c r="AJ5" s="81">
        <v>0.14583333333333334</v>
      </c>
      <c r="AK5" t="s">
        <v>121</v>
      </c>
      <c r="AL5" s="81">
        <v>6.25E-2</v>
      </c>
      <c r="AM5" s="2" t="s">
        <v>70</v>
      </c>
      <c r="AN5" s="85">
        <v>0.16666666666666666</v>
      </c>
    </row>
    <row r="6" spans="1:40" x14ac:dyDescent="0.25">
      <c r="B6" s="198" t="s">
        <v>1</v>
      </c>
      <c r="C6" s="193">
        <f>SUMIF(AK:AK,"*[Implementierung]*",AL:AL)</f>
        <v>0.1875</v>
      </c>
      <c r="D6" s="193">
        <f>SUMIF(AK:AK,"*[Testen]*",AL:AL)</f>
        <v>0</v>
      </c>
      <c r="E6" s="193">
        <f>SUMIF(AK:AK,"*[Entwurf]*",AL:AL)</f>
        <v>2.0833333333333332E-2</v>
      </c>
      <c r="F6" s="193">
        <f>SUMIF(AK:AK,"*[Recherche]*",AL:AL)</f>
        <v>0</v>
      </c>
      <c r="G6" s="193">
        <f>SUMIF(AK:AK,"*[Organisation]*",AL:AL)</f>
        <v>0.20833333333333331</v>
      </c>
      <c r="H6" s="193">
        <f>SUMIF(Meetings!F4:F11,"*Martschenko*",Meetings!E4:E11)</f>
        <v>6.9444444444444448E-2</v>
      </c>
      <c r="I6" s="194">
        <f>SUM(C6:H7)</f>
        <v>0.48611111111111105</v>
      </c>
      <c r="K6" t="s">
        <v>503</v>
      </c>
      <c r="L6" s="81">
        <v>0.125</v>
      </c>
      <c r="M6" s="35" t="s">
        <v>486</v>
      </c>
      <c r="N6" s="81">
        <v>0.125</v>
      </c>
      <c r="O6" t="s">
        <v>467</v>
      </c>
      <c r="P6" s="81">
        <v>0.125</v>
      </c>
      <c r="Q6" t="s">
        <v>452</v>
      </c>
      <c r="R6" s="81">
        <v>0.125</v>
      </c>
      <c r="S6" t="s">
        <v>424</v>
      </c>
      <c r="T6" s="81">
        <v>0.16666666666666666</v>
      </c>
      <c r="U6" t="s">
        <v>400</v>
      </c>
      <c r="V6" s="81">
        <v>9.375E-2</v>
      </c>
      <c r="W6" t="s">
        <v>368</v>
      </c>
      <c r="X6" s="81">
        <v>0.10416666666666667</v>
      </c>
      <c r="Y6" t="s">
        <v>331</v>
      </c>
      <c r="Z6" s="81">
        <v>3.125E-2</v>
      </c>
      <c r="AA6" t="s">
        <v>297</v>
      </c>
      <c r="AB6" s="81">
        <v>0.10416666666666667</v>
      </c>
      <c r="AC6" t="s">
        <v>279</v>
      </c>
      <c r="AD6" s="81">
        <v>6.25E-2</v>
      </c>
      <c r="AE6" t="s">
        <v>248</v>
      </c>
      <c r="AF6" s="81">
        <v>0.16666666666666666</v>
      </c>
      <c r="AG6" t="s">
        <v>220</v>
      </c>
      <c r="AH6" s="81">
        <v>6.9444444444444441E-3</v>
      </c>
      <c r="AI6" t="s">
        <v>171</v>
      </c>
      <c r="AJ6" s="81">
        <v>2.0833333333333332E-2</v>
      </c>
      <c r="AK6" t="s">
        <v>122</v>
      </c>
      <c r="AL6" s="81">
        <v>0.16666666666666666</v>
      </c>
      <c r="AM6" s="2" t="s">
        <v>71</v>
      </c>
      <c r="AN6" s="85">
        <v>0.10416666666666667</v>
      </c>
    </row>
    <row r="7" spans="1:40" x14ac:dyDescent="0.25">
      <c r="B7" s="198"/>
      <c r="C7" s="193"/>
      <c r="D7" s="193"/>
      <c r="E7" s="193"/>
      <c r="F7" s="193"/>
      <c r="G7" s="193"/>
      <c r="H7" s="193"/>
      <c r="I7" s="194"/>
      <c r="K7" t="s">
        <v>507</v>
      </c>
      <c r="L7" s="81">
        <v>0.125</v>
      </c>
      <c r="O7" t="s">
        <v>468</v>
      </c>
      <c r="P7" s="81">
        <v>0.10416666666666667</v>
      </c>
      <c r="Q7" t="s">
        <v>453</v>
      </c>
      <c r="R7" s="81">
        <v>0.16666666666666666</v>
      </c>
      <c r="S7" t="s">
        <v>425</v>
      </c>
      <c r="T7" s="81">
        <v>6.25E-2</v>
      </c>
      <c r="U7" t="s">
        <v>401</v>
      </c>
      <c r="V7" s="81">
        <v>8.3333333333333329E-2</v>
      </c>
      <c r="W7" t="s">
        <v>371</v>
      </c>
      <c r="X7" s="81">
        <v>0.125</v>
      </c>
      <c r="Y7" t="s">
        <v>341</v>
      </c>
      <c r="Z7" s="81">
        <v>8.3333333333333329E-2</v>
      </c>
      <c r="AA7" t="s">
        <v>298</v>
      </c>
      <c r="AB7" s="81">
        <v>0.125</v>
      </c>
      <c r="AC7" s="2" t="s">
        <v>233</v>
      </c>
      <c r="AD7" s="81">
        <v>3.8194444444444441E-2</v>
      </c>
      <c r="AE7" t="s">
        <v>254</v>
      </c>
      <c r="AF7" s="81">
        <v>0.125</v>
      </c>
      <c r="AG7" t="s">
        <v>221</v>
      </c>
      <c r="AH7" s="81">
        <v>6.25E-2</v>
      </c>
      <c r="AI7" t="s">
        <v>172</v>
      </c>
      <c r="AJ7" s="81">
        <v>8.3333333333333329E-2</v>
      </c>
      <c r="AK7" t="s">
        <v>106</v>
      </c>
      <c r="AL7" s="81">
        <v>2.0833333333333332E-2</v>
      </c>
    </row>
    <row r="8" spans="1:40" x14ac:dyDescent="0.25">
      <c r="B8" s="198" t="s">
        <v>2</v>
      </c>
      <c r="C8" s="193">
        <f>SUMIF(AI:AI,"*[Implementierung]*",AJ:AJ)</f>
        <v>0.36458333333333337</v>
      </c>
      <c r="D8" s="193">
        <f>SUMIF(AI:AI,"*[Testen]*",AJ:AJ)</f>
        <v>1.0416666666666666E-2</v>
      </c>
      <c r="E8" s="193">
        <f>SUMIF(AI:AI,"*[Entwurf]*",AJ:AJ)</f>
        <v>0.45833333333333337</v>
      </c>
      <c r="F8" s="193">
        <f>SUMIF(AI:AI,"*[Recherche]*",AJ:AJ)</f>
        <v>0</v>
      </c>
      <c r="G8" s="193">
        <f>SUMIF(AI:AI,"*[Organisation]*",AJ:AJ)</f>
        <v>4.8611111111111105E-2</v>
      </c>
      <c r="H8" s="193">
        <f>SUMIF(Meetings!I4:I11,"*Martschenko*",Meetings!H4:H11)</f>
        <v>0.14027777777777778</v>
      </c>
      <c r="I8" s="194">
        <f>SUM(C8:H9)</f>
        <v>1.0222222222222224</v>
      </c>
      <c r="K8" t="s">
        <v>514</v>
      </c>
      <c r="L8" s="81">
        <v>0.25</v>
      </c>
      <c r="O8" t="s">
        <v>469</v>
      </c>
      <c r="P8" s="81">
        <v>6.25E-2</v>
      </c>
      <c r="Q8" t="s">
        <v>454</v>
      </c>
      <c r="R8" s="81">
        <v>8.3333333333333329E-2</v>
      </c>
      <c r="S8" t="s">
        <v>426</v>
      </c>
      <c r="T8" s="81">
        <v>6.25E-2</v>
      </c>
      <c r="U8" t="s">
        <v>402</v>
      </c>
      <c r="V8" s="81">
        <v>4.1666666666666664E-2</v>
      </c>
      <c r="W8" t="s">
        <v>372</v>
      </c>
      <c r="X8" s="81">
        <v>4.1666666666666664E-2</v>
      </c>
      <c r="Y8" s="2" t="s">
        <v>233</v>
      </c>
      <c r="Z8" s="81">
        <v>2.7777777777777776E-2</v>
      </c>
      <c r="AA8" t="s">
        <v>299</v>
      </c>
      <c r="AB8" s="81">
        <v>0.125</v>
      </c>
      <c r="AC8" s="2" t="s">
        <v>233</v>
      </c>
      <c r="AD8" s="81">
        <v>3.8194444444444441E-2</v>
      </c>
      <c r="AE8" s="97" t="s">
        <v>266</v>
      </c>
      <c r="AF8" s="81">
        <v>2.7777777777777776E-2</v>
      </c>
      <c r="AG8" t="s">
        <v>222</v>
      </c>
      <c r="AH8" s="81">
        <v>0.10416666666666667</v>
      </c>
      <c r="AI8" t="s">
        <v>173</v>
      </c>
      <c r="AJ8" s="81">
        <v>6.25E-2</v>
      </c>
      <c r="AK8" t="s">
        <v>123</v>
      </c>
      <c r="AL8" s="81">
        <v>6.25E-2</v>
      </c>
    </row>
    <row r="9" spans="1:40" x14ac:dyDescent="0.25">
      <c r="B9" s="198"/>
      <c r="C9" s="193"/>
      <c r="D9" s="193"/>
      <c r="E9" s="193"/>
      <c r="F9" s="193"/>
      <c r="G9" s="193"/>
      <c r="H9" s="193"/>
      <c r="I9" s="194"/>
      <c r="K9" s="2" t="s">
        <v>233</v>
      </c>
      <c r="L9" s="81">
        <v>6.9444444444444441E-3</v>
      </c>
      <c r="O9" t="s">
        <v>470</v>
      </c>
      <c r="P9" s="81">
        <v>0.14583333333333334</v>
      </c>
      <c r="Q9" t="s">
        <v>427</v>
      </c>
      <c r="R9" s="81">
        <v>0.10416666666666667</v>
      </c>
      <c r="S9" t="s">
        <v>427</v>
      </c>
      <c r="T9" s="81">
        <v>4.1666666666666664E-2</v>
      </c>
      <c r="U9" t="s">
        <v>403</v>
      </c>
      <c r="V9" s="81">
        <v>4.1666666666666664E-2</v>
      </c>
      <c r="W9" t="s">
        <v>373</v>
      </c>
      <c r="X9" s="81">
        <v>4.1666666666666664E-2</v>
      </c>
      <c r="Y9" s="35" t="s">
        <v>322</v>
      </c>
      <c r="Z9" s="81">
        <v>0.10416666666666667</v>
      </c>
      <c r="AA9" t="s">
        <v>295</v>
      </c>
      <c r="AB9" s="81">
        <v>4.1666666666666664E-2</v>
      </c>
      <c r="AE9" s="2" t="s">
        <v>233</v>
      </c>
      <c r="AF9" s="81">
        <v>4.8611111111111112E-2</v>
      </c>
      <c r="AG9" t="s">
        <v>223</v>
      </c>
      <c r="AH9" s="81">
        <v>6.25E-2</v>
      </c>
      <c r="AI9" t="s">
        <v>174</v>
      </c>
      <c r="AJ9" s="81">
        <v>6.25E-2</v>
      </c>
      <c r="AK9" t="s">
        <v>124</v>
      </c>
      <c r="AL9" s="81">
        <v>2.0833333333333332E-2</v>
      </c>
    </row>
    <row r="10" spans="1:40" x14ac:dyDescent="0.25">
      <c r="B10" s="198" t="s">
        <v>3</v>
      </c>
      <c r="C10" s="193">
        <f>SUMIF(AG:AG,"*[Implementierung]*",AH:AH)</f>
        <v>0.2361111111111111</v>
      </c>
      <c r="D10" s="193">
        <f>SUMIF(AG:AG,"*[Testen]*",AH:AH)</f>
        <v>2.0833333333333332E-2</v>
      </c>
      <c r="E10" s="193">
        <f>SUMIF(AG:AG,"*[Entwurf]*",AH:AH)</f>
        <v>0</v>
      </c>
      <c r="F10" s="193">
        <f>SUMIF(AG:AG,"*[Recherche]*",AH:AH)</f>
        <v>0.10416666666666667</v>
      </c>
      <c r="G10" s="193">
        <f>SUMIF(AG:AG,"*[Organisation]*",AH:AH)</f>
        <v>5.5555555555555552E-2</v>
      </c>
      <c r="H10" s="193">
        <f>SUMIF(Meetings!L4:L11,"*Martschenko*",Meetings!K4:K11)</f>
        <v>8.6805555555555552E-2</v>
      </c>
      <c r="I10" s="194">
        <f>SUM(C10:H11)</f>
        <v>0.50347222222222221</v>
      </c>
      <c r="S10" t="s">
        <v>429</v>
      </c>
      <c r="T10" s="81">
        <v>8.3333333333333329E-2</v>
      </c>
      <c r="U10" t="s">
        <v>404</v>
      </c>
      <c r="V10" s="81">
        <v>6.25E-2</v>
      </c>
      <c r="W10" t="s">
        <v>374</v>
      </c>
      <c r="X10" s="81">
        <v>8.3333333333333329E-2</v>
      </c>
      <c r="AA10" t="s">
        <v>301</v>
      </c>
      <c r="AB10" s="81">
        <v>6.9444444444444441E-3</v>
      </c>
      <c r="AE10" s="35" t="s">
        <v>261</v>
      </c>
      <c r="AF10" s="81">
        <v>2.0833333333333332E-2</v>
      </c>
      <c r="AG10" t="s">
        <v>224</v>
      </c>
      <c r="AH10" s="81">
        <v>0.10416666666666667</v>
      </c>
      <c r="AI10" t="s">
        <v>175</v>
      </c>
      <c r="AJ10" s="81">
        <v>6.9444444444444441E-3</v>
      </c>
      <c r="AK10" t="s">
        <v>125</v>
      </c>
      <c r="AL10" s="46">
        <v>8.3333333333333329E-2</v>
      </c>
    </row>
    <row r="11" spans="1:40" x14ac:dyDescent="0.25">
      <c r="B11" s="198"/>
      <c r="C11" s="193"/>
      <c r="D11" s="193"/>
      <c r="E11" s="193"/>
      <c r="F11" s="193"/>
      <c r="G11" s="193"/>
      <c r="H11" s="193"/>
      <c r="I11" s="194"/>
      <c r="S11" t="s">
        <v>434</v>
      </c>
      <c r="T11" s="81">
        <v>2.0833333333333332E-2</v>
      </c>
      <c r="U11" t="s">
        <v>405</v>
      </c>
      <c r="V11" s="81">
        <v>0.14583333333333334</v>
      </c>
      <c r="AA11" t="s">
        <v>322</v>
      </c>
      <c r="AB11" s="81">
        <v>0.14583333333333334</v>
      </c>
      <c r="AE11" s="35" t="s">
        <v>254</v>
      </c>
      <c r="AF11" s="81">
        <v>2.0833333333333332E-2</v>
      </c>
      <c r="AG11" t="s">
        <v>225</v>
      </c>
      <c r="AH11" s="81">
        <v>2.0833333333333332E-2</v>
      </c>
      <c r="AI11" t="s">
        <v>176</v>
      </c>
      <c r="AJ11" s="81">
        <v>1.0416666666666666E-2</v>
      </c>
    </row>
    <row r="12" spans="1:40" x14ac:dyDescent="0.25">
      <c r="B12" s="198" t="s">
        <v>4</v>
      </c>
      <c r="C12" s="193">
        <f>SUMIF(AE:AE,"*[Implementierung]*",AF:AF)</f>
        <v>0.33333333333333326</v>
      </c>
      <c r="D12" s="193">
        <f>SUMIF(AE:AE,"*[Testen]*",AF:AF)</f>
        <v>4.8611111111111112E-2</v>
      </c>
      <c r="E12" s="193">
        <f>SUMIF(AE:AE,"*[Entwurf]*",AF:AF)</f>
        <v>2.7777777777777776E-2</v>
      </c>
      <c r="F12" s="193">
        <f>SUMIF(AE:AE,"*[Recherche]*",AF:AF)</f>
        <v>0.10416666666666667</v>
      </c>
      <c r="G12" s="193">
        <f>SUMIF(AE:AE,"*[Organisation]*",AF:AF)</f>
        <v>0</v>
      </c>
      <c r="H12" s="193">
        <f>SUMIF(Meetings!O4:O11,"*Martschenko*",Meetings!N4:N11)</f>
        <v>8.1249999999999989E-2</v>
      </c>
      <c r="I12" s="194">
        <f>SUM(C12:H13)</f>
        <v>0.59513888888888888</v>
      </c>
      <c r="S12" t="s">
        <v>438</v>
      </c>
      <c r="T12" s="81">
        <v>3.125E-2</v>
      </c>
      <c r="U12" t="s">
        <v>406</v>
      </c>
      <c r="V12" s="81">
        <v>0.10416666666666667</v>
      </c>
      <c r="AA12" t="s">
        <v>321</v>
      </c>
      <c r="AB12" s="81">
        <v>9.7222222222222224E-2</v>
      </c>
      <c r="AI12" t="s">
        <v>177</v>
      </c>
      <c r="AJ12" s="81">
        <v>2.0833333333333332E-2</v>
      </c>
    </row>
    <row r="13" spans="1:40" x14ac:dyDescent="0.25">
      <c r="B13" s="198"/>
      <c r="C13" s="193"/>
      <c r="D13" s="193"/>
      <c r="E13" s="193"/>
      <c r="F13" s="193"/>
      <c r="G13" s="193"/>
      <c r="H13" s="193"/>
      <c r="I13" s="194"/>
      <c r="U13" t="s">
        <v>414</v>
      </c>
      <c r="V13" s="81">
        <v>4.1666666666666664E-2</v>
      </c>
      <c r="AI13" s="15" t="s">
        <v>178</v>
      </c>
    </row>
    <row r="14" spans="1:40" x14ac:dyDescent="0.25">
      <c r="B14" s="198" t="s">
        <v>5</v>
      </c>
      <c r="C14" s="193">
        <f>SUMIF(AC:AC,"*[Implementierung]*",AD:AD)</f>
        <v>0.22916666666666666</v>
      </c>
      <c r="D14" s="193">
        <f>SUMIF(AC:AC,"*[Testen]*",AD:AD)</f>
        <v>7.6388888888888881E-2</v>
      </c>
      <c r="E14" s="193">
        <f>SUMIF(AC:AC,"*[Entwurf]*",AD:AD)</f>
        <v>0</v>
      </c>
      <c r="F14" s="193">
        <f>SUMIF(AC:AC,"*[Recherche]*",AD:AD)</f>
        <v>0</v>
      </c>
      <c r="G14" s="193">
        <f>SUMIF(AC:AC,"*[Organisation]*",AD:AD)</f>
        <v>0</v>
      </c>
      <c r="H14" s="193">
        <f>SUMIF(Meetings!R4:R11,"*Martschenko*",Meetings!Q4:Q11)</f>
        <v>0.10069444444444445</v>
      </c>
      <c r="I14" s="194">
        <f>SUM(C14:H15)</f>
        <v>0.40625</v>
      </c>
      <c r="AI14" s="87" t="s">
        <v>179</v>
      </c>
      <c r="AJ14" s="81">
        <v>0.125</v>
      </c>
    </row>
    <row r="15" spans="1:40" x14ac:dyDescent="0.25">
      <c r="B15" s="198"/>
      <c r="C15" s="193"/>
      <c r="D15" s="193"/>
      <c r="E15" s="193"/>
      <c r="F15" s="193"/>
      <c r="G15" s="193"/>
      <c r="H15" s="193"/>
      <c r="I15" s="194"/>
      <c r="AI15" s="87" t="s">
        <v>180</v>
      </c>
      <c r="AJ15" s="81">
        <v>0.20833333333333334</v>
      </c>
    </row>
    <row r="16" spans="1:40" x14ac:dyDescent="0.25">
      <c r="B16" s="198" t="s">
        <v>6</v>
      </c>
      <c r="C16" s="193">
        <f>SUMIF(AA:AA,"*[Implementierung]*",AB:AB)</f>
        <v>0.52777777777777779</v>
      </c>
      <c r="D16" s="193">
        <f>SUMIF(AA:AA,"*[Testen]*",AB:AB)</f>
        <v>0</v>
      </c>
      <c r="E16" s="193">
        <f>SUMIF(AA:AA,"*[Entwurf]*",AB:AB)</f>
        <v>0</v>
      </c>
      <c r="F16" s="193">
        <f>SUMIF(AA:AA,"*[Recherche]*",AB:AB)</f>
        <v>0</v>
      </c>
      <c r="G16" s="193">
        <f>SUMIF(AA:AA,"*[Organisation]*",AB:AB)</f>
        <v>0.24305555555555558</v>
      </c>
      <c r="H16" s="193">
        <f>SUMIF(Meetings!U4:U11,"*Martschenko*",Meetings!T4:T11)</f>
        <v>0.11805555555555555</v>
      </c>
      <c r="I16" s="194">
        <f>SUM(C16:H17)</f>
        <v>0.88888888888888895</v>
      </c>
      <c r="AI16" s="87" t="s">
        <v>181</v>
      </c>
      <c r="AJ16" s="81">
        <v>8.3333333333333329E-2</v>
      </c>
    </row>
    <row r="17" spans="2:36" x14ac:dyDescent="0.25">
      <c r="B17" s="198"/>
      <c r="C17" s="193"/>
      <c r="D17" s="193"/>
      <c r="E17" s="193"/>
      <c r="F17" s="193"/>
      <c r="G17" s="193"/>
      <c r="H17" s="193"/>
      <c r="I17" s="194"/>
      <c r="AI17" s="87" t="s">
        <v>182</v>
      </c>
      <c r="AJ17" s="81">
        <v>4.1666666666666664E-2</v>
      </c>
    </row>
    <row r="18" spans="2:36" x14ac:dyDescent="0.25">
      <c r="B18" s="198" t="s">
        <v>28</v>
      </c>
      <c r="C18" s="193">
        <f>SUMIF(Y:Y,"*[Implementierung]*",Z:Z)</f>
        <v>0.26041666666666669</v>
      </c>
      <c r="D18" s="193">
        <f>SUMIF(Y:Y,"*[Testen]*",Z:Z)</f>
        <v>2.7777777777777776E-2</v>
      </c>
      <c r="E18" s="193">
        <f>SUMIF(Y:Y,"*[Entwurf]*",Z:Z)</f>
        <v>0</v>
      </c>
      <c r="F18" s="193">
        <f>SUMIF(Y:Y,"*[Recherche]*",Z:Z)</f>
        <v>0</v>
      </c>
      <c r="G18" s="193">
        <f>SUMIF(Y:Y,"*[Organisation]*",Z:Z)</f>
        <v>0.10416666666666667</v>
      </c>
      <c r="H18" s="193">
        <f>SUMIF(Meetings!C14:C21,"*Martschenko*",Meetings!B14:B21)</f>
        <v>0.2013888888888889</v>
      </c>
      <c r="I18" s="194">
        <f>SUM(C18:H19)</f>
        <v>0.59375</v>
      </c>
      <c r="AI18" t="s">
        <v>183</v>
      </c>
      <c r="AJ18" s="81">
        <v>1.0416666666666666E-2</v>
      </c>
    </row>
    <row r="19" spans="2:36" x14ac:dyDescent="0.25">
      <c r="B19" s="198"/>
      <c r="C19" s="193"/>
      <c r="D19" s="193"/>
      <c r="E19" s="193"/>
      <c r="F19" s="193"/>
      <c r="G19" s="193"/>
      <c r="H19" s="193"/>
      <c r="I19" s="194"/>
    </row>
    <row r="20" spans="2:36" x14ac:dyDescent="0.25">
      <c r="B20" s="198" t="s">
        <v>29</v>
      </c>
      <c r="C20" s="193">
        <f>SUMIF(W:W,"*[Implementierung]*",X:X)</f>
        <v>0.35416666666666663</v>
      </c>
      <c r="D20" s="193">
        <f>SUMIF(W:W,"*[Testen]*",X:X)</f>
        <v>0</v>
      </c>
      <c r="E20" s="193">
        <f>SUMIF(W:W,"*[Entwurf]*",X:X)</f>
        <v>0.10416666666666667</v>
      </c>
      <c r="F20" s="193">
        <f>SUMIF(W:W,"*[Recherche]*",X:X)</f>
        <v>0</v>
      </c>
      <c r="G20" s="193">
        <f>SUMIF(W:W,"*[Organisation]*",X:X)</f>
        <v>0</v>
      </c>
      <c r="H20" s="193">
        <f>SUMIF(Meetings!F14:F21,"*Martschenko*",Meetings!E14:E21)</f>
        <v>0.10416666666666666</v>
      </c>
      <c r="I20" s="194">
        <f>SUM(C20:H21)</f>
        <v>0.5625</v>
      </c>
    </row>
    <row r="21" spans="2:36" x14ac:dyDescent="0.25">
      <c r="B21" s="198"/>
      <c r="C21" s="193"/>
      <c r="D21" s="193"/>
      <c r="E21" s="193"/>
      <c r="F21" s="193"/>
      <c r="G21" s="193"/>
      <c r="H21" s="193"/>
      <c r="I21" s="194"/>
    </row>
    <row r="22" spans="2:36" x14ac:dyDescent="0.25">
      <c r="B22" s="198" t="s">
        <v>30</v>
      </c>
      <c r="C22" s="193">
        <f>SUMIF(U:U,"*[Implementierung]*",V:V)</f>
        <v>0.65625</v>
      </c>
      <c r="D22" s="193">
        <f>SUMIF(U:U,"*[Testen]*",V:V)</f>
        <v>0</v>
      </c>
      <c r="E22" s="193">
        <f>SUMIF(U:U,"*[Entwurf]*",V:V)</f>
        <v>4.1666666666666664E-2</v>
      </c>
      <c r="F22" s="193">
        <f>SUMIF(U:U,"*[Recherche]*",V:V)</f>
        <v>0</v>
      </c>
      <c r="G22" s="193">
        <f>SUMIF(U:U,"*[Organisation]*",V:V)</f>
        <v>0</v>
      </c>
      <c r="H22" s="193">
        <f>SUMIF(Meetings!I14:I21,"*Martschenko*",Meetings!H14:H21)</f>
        <v>2.7777777777777776E-2</v>
      </c>
      <c r="I22" s="194">
        <f>SUM(C22:H23)</f>
        <v>0.72569444444444442</v>
      </c>
    </row>
    <row r="23" spans="2:36" x14ac:dyDescent="0.25">
      <c r="B23" s="198"/>
      <c r="C23" s="193"/>
      <c r="D23" s="193"/>
      <c r="E23" s="193"/>
      <c r="F23" s="193"/>
      <c r="G23" s="193"/>
      <c r="H23" s="193"/>
      <c r="I23" s="194"/>
    </row>
    <row r="24" spans="2:36" x14ac:dyDescent="0.25">
      <c r="B24" s="198" t="s">
        <v>31</v>
      </c>
      <c r="C24" s="193">
        <f>SUMIF(S:S,"*[Implementierung]*",T:T)</f>
        <v>0.48958333333333331</v>
      </c>
      <c r="D24" s="193">
        <f>SUMIF(S:S,"*[Testen]*",T:T)</f>
        <v>0</v>
      </c>
      <c r="E24" s="193">
        <f>SUMIF(S:S,"*[Entwurf]*",T:T)</f>
        <v>0</v>
      </c>
      <c r="F24" s="193">
        <f>SUMIF(S:S,"*[Recherche]*",T:T)</f>
        <v>3.125E-2</v>
      </c>
      <c r="G24" s="193">
        <f>SUMIF(S:S,"*[Organisation]*",T:T)</f>
        <v>0</v>
      </c>
      <c r="H24" s="193">
        <f>SUMIF(Meetings!L14:L21,"*Martschenko*",Meetings!K14:K21)</f>
        <v>0.11944444444444444</v>
      </c>
      <c r="I24" s="194">
        <f>SUM(C24:H25)</f>
        <v>0.64027777777777772</v>
      </c>
    </row>
    <row r="25" spans="2:36" x14ac:dyDescent="0.25">
      <c r="B25" s="198"/>
      <c r="C25" s="193"/>
      <c r="D25" s="193"/>
      <c r="E25" s="193"/>
      <c r="F25" s="193"/>
      <c r="G25" s="193"/>
      <c r="H25" s="193"/>
      <c r="I25" s="194"/>
    </row>
    <row r="26" spans="2:36" x14ac:dyDescent="0.25">
      <c r="B26" s="198" t="s">
        <v>32</v>
      </c>
      <c r="C26" s="193">
        <f>SUMIF(Q:Q,"*[Implementierung]*",R:R)</f>
        <v>0.47916666666666663</v>
      </c>
      <c r="D26" s="193">
        <f>SUMIF(Q:Q,"*[Testen]*",R:R)</f>
        <v>0</v>
      </c>
      <c r="E26" s="193">
        <f>SUMIF(Q:Q,"*[Entwurf]*",R:R)</f>
        <v>0</v>
      </c>
      <c r="F26" s="193">
        <f>SUMIF(Q:Q,"*[Recherche]*",R:R)</f>
        <v>0</v>
      </c>
      <c r="G26" s="193">
        <f>SUMIF(Q:Q,"*[Organisation]*",R:R)</f>
        <v>6.25E-2</v>
      </c>
      <c r="H26" s="193">
        <f>SUMIF(Meetings!O14:O21,"*Martschenko*",Meetings!N14:N21)</f>
        <v>7.6388888888888895E-2</v>
      </c>
      <c r="I26" s="194">
        <f>SUM(C26:H27)</f>
        <v>0.61805555555555558</v>
      </c>
    </row>
    <row r="27" spans="2:36" x14ac:dyDescent="0.25">
      <c r="B27" s="198"/>
      <c r="C27" s="193"/>
      <c r="D27" s="193"/>
      <c r="E27" s="193"/>
      <c r="F27" s="193"/>
      <c r="G27" s="193"/>
      <c r="H27" s="193"/>
      <c r="I27" s="194"/>
    </row>
    <row r="28" spans="2:36" x14ac:dyDescent="0.25">
      <c r="B28" s="198" t="s">
        <v>33</v>
      </c>
      <c r="C28" s="193">
        <f>SUMIF(O:O,"*[Implementierung]*",P:P)</f>
        <v>0.60416666666666663</v>
      </c>
      <c r="D28" s="193">
        <f>SUMIF(O:O,"*[Testen]*",P:P)</f>
        <v>0</v>
      </c>
      <c r="E28" s="193">
        <f>SUMIF(O:O,"*[Entwurf]*",P:P)</f>
        <v>0</v>
      </c>
      <c r="F28" s="193">
        <f>SUMIF(O:O,"*[Recherche]*",P:P)</f>
        <v>0</v>
      </c>
      <c r="G28" s="193">
        <f>SUMIF(O:O,"*[Organisation]*",P:P)</f>
        <v>0</v>
      </c>
      <c r="H28" s="193">
        <f>SUMIF(Meetings!R14:R21,"*Martschenko*",Meetings!Q14:Q21)</f>
        <v>4.5138888888888888E-2</v>
      </c>
      <c r="I28" s="194">
        <f>SUM(C28:H29)</f>
        <v>0.64930555555555547</v>
      </c>
    </row>
    <row r="29" spans="2:36" x14ac:dyDescent="0.25">
      <c r="B29" s="198"/>
      <c r="C29" s="193"/>
      <c r="D29" s="193"/>
      <c r="E29" s="193"/>
      <c r="F29" s="193"/>
      <c r="G29" s="193"/>
      <c r="H29" s="193"/>
      <c r="I29" s="194"/>
    </row>
    <row r="30" spans="2:36" x14ac:dyDescent="0.25">
      <c r="B30" s="198" t="s">
        <v>34</v>
      </c>
      <c r="C30" s="193">
        <f>SUMIF(M:M,"*[Implementierung]*",N:N)</f>
        <v>0.25</v>
      </c>
      <c r="D30" s="193">
        <f>SUMIF(M:M,"*[Testen]*",N:N)</f>
        <v>0</v>
      </c>
      <c r="E30" s="193">
        <f>SUMIF(M:M,"*[Entwurf]*",N:N)</f>
        <v>0</v>
      </c>
      <c r="F30" s="193">
        <f>SUMIF(M:M,"*[Recherche]*",N:N)</f>
        <v>0</v>
      </c>
      <c r="G30" s="193">
        <f>SUMIF(M:M,"*[Organisation]*",N:N)</f>
        <v>0</v>
      </c>
      <c r="H30" s="193">
        <f>SUMIF(Meetings!U14:U21,"*Martschenko*",Meetings!T14:T21)</f>
        <v>5.5555555555555552E-2</v>
      </c>
      <c r="I30" s="194">
        <f>SUM(C30:H31)</f>
        <v>0.30555555555555558</v>
      </c>
    </row>
    <row r="31" spans="2:36" x14ac:dyDescent="0.25">
      <c r="B31" s="198"/>
      <c r="C31" s="193"/>
      <c r="D31" s="193"/>
      <c r="E31" s="193"/>
      <c r="F31" s="193"/>
      <c r="G31" s="193"/>
      <c r="H31" s="193"/>
      <c r="I31" s="195"/>
    </row>
    <row r="32" spans="2:36" x14ac:dyDescent="0.25">
      <c r="B32" s="198" t="s">
        <v>392</v>
      </c>
      <c r="C32" s="193">
        <f>SUMIF(K:K,"*[Implementierung]*",L:L)</f>
        <v>0.4375</v>
      </c>
      <c r="D32" s="193">
        <f>SUMIF(K:K,"*[Testen]*",L:L)</f>
        <v>6.9444444444444441E-3</v>
      </c>
      <c r="E32" s="193">
        <f>SUMIF(K:K,"*[Entwurf]*",L:L)</f>
        <v>0</v>
      </c>
      <c r="F32" s="193">
        <f>SUMIF(K:K,"*[Recherche]*",L:L)</f>
        <v>0</v>
      </c>
      <c r="G32" s="193">
        <f>SUMIF(K:K,"*[Organisation]*",L:L)</f>
        <v>0.25</v>
      </c>
      <c r="H32" s="193">
        <f>SUMIF(Meetings!C24:C31,"*Martschenko*",Meetings!B24:B31)</f>
        <v>9.0277777777777776E-2</v>
      </c>
      <c r="I32" s="194">
        <f>SUM(C32:H33)</f>
        <v>0.78472222222222221</v>
      </c>
    </row>
    <row r="33" spans="2:9" x14ac:dyDescent="0.25">
      <c r="B33" s="198"/>
      <c r="C33" s="193"/>
      <c r="D33" s="193"/>
      <c r="E33" s="193"/>
      <c r="F33" s="193"/>
      <c r="G33" s="193"/>
      <c r="H33" s="193"/>
      <c r="I33" s="195"/>
    </row>
    <row r="34" spans="2:9" x14ac:dyDescent="0.25">
      <c r="B34" s="198" t="s">
        <v>393</v>
      </c>
      <c r="C34" s="193"/>
      <c r="D34" s="193"/>
      <c r="E34" s="193"/>
      <c r="F34" s="193"/>
      <c r="G34" s="193"/>
      <c r="H34" s="193">
        <f>SUMIF(Meetings!F24:F31,"*Martschenko*",Meetings!E24:E31)</f>
        <v>0.18055555555555552</v>
      </c>
      <c r="I34" s="194">
        <f>SUM(C34:H35)</f>
        <v>0.18055555555555552</v>
      </c>
    </row>
    <row r="35" spans="2:9" x14ac:dyDescent="0.25">
      <c r="B35" s="198"/>
      <c r="C35" s="193"/>
      <c r="D35" s="193"/>
      <c r="E35" s="193"/>
      <c r="F35" s="193"/>
      <c r="G35" s="193"/>
      <c r="H35" s="193"/>
      <c r="I35" s="195"/>
    </row>
    <row r="36" spans="2:9" x14ac:dyDescent="0.25">
      <c r="B36" s="198" t="s">
        <v>394</v>
      </c>
      <c r="C36" s="193"/>
      <c r="D36" s="193"/>
      <c r="E36" s="193"/>
      <c r="F36" s="193"/>
      <c r="G36" s="193"/>
      <c r="H36" s="193">
        <f>SUMIF(Meetings!I24:I31,"*Martschenko*",Meetings!H24:H31)</f>
        <v>0</v>
      </c>
      <c r="I36" s="194">
        <f>SUM(C36:H37)</f>
        <v>0</v>
      </c>
    </row>
    <row r="37" spans="2:9" ht="15.75" thickBot="1" x14ac:dyDescent="0.3">
      <c r="B37" s="198"/>
      <c r="C37" s="193"/>
      <c r="D37" s="193"/>
      <c r="E37" s="193"/>
      <c r="F37" s="193"/>
      <c r="G37" s="193"/>
      <c r="H37" s="193"/>
      <c r="I37" s="195"/>
    </row>
    <row r="38" spans="2:9" x14ac:dyDescent="0.25">
      <c r="B38" s="192" t="s">
        <v>43</v>
      </c>
      <c r="C38" s="194">
        <f t="shared" ref="C38:H38" si="0">SUM(C4:C31)</f>
        <v>4.9722222222222223</v>
      </c>
      <c r="D38" s="194">
        <f t="shared" si="0"/>
        <v>0.18402777777777779</v>
      </c>
      <c r="E38" s="194">
        <f t="shared" si="0"/>
        <v>0.75694444444444442</v>
      </c>
      <c r="F38" s="194">
        <f t="shared" si="0"/>
        <v>0.40625</v>
      </c>
      <c r="G38" s="194">
        <f t="shared" si="0"/>
        <v>0.72222222222222221</v>
      </c>
      <c r="H38" s="199">
        <f t="shared" si="0"/>
        <v>1.5180555555555555</v>
      </c>
      <c r="I38" s="201">
        <f>SUM(C38:H39)</f>
        <v>8.5597222222222218</v>
      </c>
    </row>
    <row r="39" spans="2:9" ht="15.75" thickBot="1" x14ac:dyDescent="0.3">
      <c r="B39" s="192"/>
      <c r="C39" s="192"/>
      <c r="D39" s="192"/>
      <c r="E39" s="192"/>
      <c r="F39" s="192"/>
      <c r="G39" s="192"/>
      <c r="H39" s="200"/>
      <c r="I39" s="202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9"/>
  <sheetViews>
    <sheetView topLeftCell="A7" workbookViewId="0">
      <selection activeCell="H18" sqref="H18:H31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90" t="s">
        <v>52</v>
      </c>
      <c r="B1" s="190"/>
      <c r="C1" s="190"/>
      <c r="K1" s="50" t="s">
        <v>56</v>
      </c>
      <c r="L1" s="2"/>
    </row>
    <row r="3" spans="1:2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6</v>
      </c>
      <c r="L3" s="58"/>
      <c r="M3" s="58" t="s">
        <v>5</v>
      </c>
      <c r="N3" s="58"/>
      <c r="O3" s="58" t="s">
        <v>4</v>
      </c>
      <c r="P3" s="58"/>
      <c r="Q3" s="58" t="s">
        <v>3</v>
      </c>
      <c r="R3" s="58"/>
      <c r="S3" s="58" t="s">
        <v>2</v>
      </c>
      <c r="T3" s="58"/>
      <c r="U3" s="58" t="s">
        <v>1</v>
      </c>
      <c r="V3" s="58"/>
      <c r="W3" s="47" t="s">
        <v>37</v>
      </c>
      <c r="X3" s="47"/>
    </row>
    <row r="4" spans="1:24" x14ac:dyDescent="0.25">
      <c r="B4" s="196" t="s">
        <v>37</v>
      </c>
      <c r="C4" s="186">
        <f>SUMIF(W:W,"*[Implementierung]*",X:X)</f>
        <v>0</v>
      </c>
      <c r="D4" s="186">
        <f>SUMIF(W:W,"*[Testen]*",X:X)</f>
        <v>0</v>
      </c>
      <c r="E4" s="186">
        <f>SUMIF(W:W,"*[Entwurf]*",X:X)</f>
        <v>0</v>
      </c>
      <c r="F4" s="186">
        <f>SUMIF(W:W,"*[Recherche]*",X:X)</f>
        <v>0.20833333333333334</v>
      </c>
      <c r="G4" s="186">
        <f>SUMIF(W:W,"*[Organisation]*",X:X)</f>
        <v>0</v>
      </c>
      <c r="H4" s="186">
        <f>SUMIF(Meetings!C4:C11,"*Soboth*",Meetings!B4:B11)</f>
        <v>0.29166666666666669</v>
      </c>
      <c r="I4" s="194">
        <f>SUM(C4:H5)</f>
        <v>0.5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</row>
    <row r="5" spans="1:24" x14ac:dyDescent="0.25">
      <c r="B5" s="197"/>
      <c r="C5" s="186"/>
      <c r="D5" s="186"/>
      <c r="E5" s="186"/>
      <c r="F5" s="186"/>
      <c r="G5" s="186"/>
      <c r="H5" s="186"/>
      <c r="I5" s="194"/>
      <c r="O5" t="s">
        <v>256</v>
      </c>
      <c r="P5" s="81">
        <v>0.15277777777777776</v>
      </c>
      <c r="Q5" t="s">
        <v>226</v>
      </c>
      <c r="R5" s="81">
        <v>0.16666666666666666</v>
      </c>
      <c r="S5" t="s">
        <v>147</v>
      </c>
      <c r="T5" s="81">
        <v>0.125</v>
      </c>
      <c r="U5" t="s">
        <v>109</v>
      </c>
      <c r="V5" s="81">
        <v>8.3333333333333329E-2</v>
      </c>
      <c r="W5" s="2" t="s">
        <v>72</v>
      </c>
      <c r="X5" s="85">
        <v>0.10416666666666667</v>
      </c>
    </row>
    <row r="6" spans="1:24" x14ac:dyDescent="0.25">
      <c r="B6" s="198" t="s">
        <v>1</v>
      </c>
      <c r="C6" s="193">
        <f>SUMIF(U:U,"*[Implementierung]*",V:V)</f>
        <v>7.2916666666666671E-2</v>
      </c>
      <c r="D6" s="193">
        <f>SUMIF(U:U,"*[Testen]*",V:V)</f>
        <v>0</v>
      </c>
      <c r="E6" s="193">
        <f>SUMIF(U:U,"*[Entwurf]*",V:V)</f>
        <v>0.1388888888888889</v>
      </c>
      <c r="F6" s="193">
        <f>SUMIF(U:U,"*[Recherche]*",V:V)</f>
        <v>0.22916666666666669</v>
      </c>
      <c r="G6" s="193">
        <f>SUMIF(U:U,"*[Organisation]*",V:V)</f>
        <v>3.125E-2</v>
      </c>
      <c r="H6" s="193">
        <f>SUMIF(Meetings!F4:F11,"*Soboth*",Meetings!E4:E11)</f>
        <v>6.9444444444444448E-2</v>
      </c>
      <c r="I6" s="194">
        <f>SUM(C6:H7)</f>
        <v>0.54166666666666674</v>
      </c>
      <c r="K6" s="203" t="s">
        <v>324</v>
      </c>
      <c r="O6" t="s">
        <v>260</v>
      </c>
      <c r="P6" s="81">
        <v>0.14583333333333334</v>
      </c>
      <c r="Q6" t="s">
        <v>208</v>
      </c>
      <c r="R6" s="81">
        <v>0.1875</v>
      </c>
      <c r="S6" t="s">
        <v>184</v>
      </c>
      <c r="T6" s="81">
        <v>5.2083333333333336E-2</v>
      </c>
      <c r="U6" t="s">
        <v>126</v>
      </c>
      <c r="V6" s="81">
        <v>0.14583333333333334</v>
      </c>
      <c r="W6" s="2" t="s">
        <v>73</v>
      </c>
      <c r="X6" s="85">
        <v>0.10416666666666667</v>
      </c>
    </row>
    <row r="7" spans="1:24" x14ac:dyDescent="0.25">
      <c r="B7" s="198"/>
      <c r="C7" s="193"/>
      <c r="D7" s="193"/>
      <c r="E7" s="193"/>
      <c r="F7" s="193"/>
      <c r="G7" s="193"/>
      <c r="H7" s="193"/>
      <c r="I7" s="194"/>
      <c r="K7" s="203"/>
      <c r="O7" t="s">
        <v>255</v>
      </c>
      <c r="P7" s="81">
        <v>7.2916666666666671E-2</v>
      </c>
      <c r="Q7" t="s">
        <v>209</v>
      </c>
      <c r="R7" s="81">
        <v>0.12152777777777778</v>
      </c>
      <c r="S7" s="86" t="s">
        <v>148</v>
      </c>
      <c r="U7" t="s">
        <v>127</v>
      </c>
      <c r="V7" s="81">
        <v>8.3333333333333329E-2</v>
      </c>
    </row>
    <row r="8" spans="1:24" x14ac:dyDescent="0.25">
      <c r="B8" s="198" t="s">
        <v>2</v>
      </c>
      <c r="C8" s="193">
        <f>SUMIF(S:S,"*[Implementierung]*",T:T)</f>
        <v>0.21527777777777779</v>
      </c>
      <c r="D8" s="193">
        <f>SUMIF(S:S,"*[Testen]*",T:T)</f>
        <v>0</v>
      </c>
      <c r="E8" s="193">
        <f>SUMIF(S:S,"*[Entwurf]*",T:T)</f>
        <v>5.2083333333333336E-2</v>
      </c>
      <c r="F8" s="193">
        <f>SUMIF(S:S,"*[Recherche]*",T:T)</f>
        <v>0.125</v>
      </c>
      <c r="G8" s="193">
        <f>SUMIF(S:S,"*[Organisation]*",T:T)</f>
        <v>0</v>
      </c>
      <c r="H8" s="193">
        <f>SUMIF(Meetings!I4:I11,"*Soboth*",Meetings!H4:H11)</f>
        <v>6.9444444444444434E-2</v>
      </c>
      <c r="I8" s="194">
        <f>SUM(C8:H9)</f>
        <v>0.46180555555555552</v>
      </c>
      <c r="Q8" t="s">
        <v>210</v>
      </c>
      <c r="R8" s="81">
        <v>9.0277777777777776E-2</v>
      </c>
      <c r="S8" s="87" t="s">
        <v>149</v>
      </c>
      <c r="T8" s="81">
        <v>1.3888888888888888E-2</v>
      </c>
      <c r="U8" t="s">
        <v>128</v>
      </c>
      <c r="V8" s="81">
        <v>5.5555555555555552E-2</v>
      </c>
    </row>
    <row r="9" spans="1:24" x14ac:dyDescent="0.25">
      <c r="B9" s="198"/>
      <c r="C9" s="193"/>
      <c r="D9" s="193"/>
      <c r="E9" s="193"/>
      <c r="F9" s="193"/>
      <c r="G9" s="193"/>
      <c r="H9" s="193"/>
      <c r="I9" s="194"/>
      <c r="S9" s="87" t="s">
        <v>150</v>
      </c>
      <c r="T9" s="81">
        <v>3.4722222222222224E-2</v>
      </c>
      <c r="U9" t="s">
        <v>129</v>
      </c>
      <c r="V9" s="81">
        <v>7.2916666666666671E-2</v>
      </c>
    </row>
    <row r="10" spans="1:24" x14ac:dyDescent="0.25">
      <c r="B10" s="198" t="s">
        <v>3</v>
      </c>
      <c r="C10" s="193">
        <f>SUMIF(Q:Q,"*[Implementierung]*",R:R)</f>
        <v>0.28819444444444442</v>
      </c>
      <c r="D10" s="193">
        <f>SUMIF(Q:Q,"*[Testen]*",R:R)</f>
        <v>0</v>
      </c>
      <c r="E10" s="193">
        <f>SUMIF(Q:Q,"*[Entwurf]*",R:R)</f>
        <v>0</v>
      </c>
      <c r="F10" s="193">
        <f>SUMIF(Q:Q,"*[Recherche]*",R:R)</f>
        <v>9.0277777777777776E-2</v>
      </c>
      <c r="G10" s="193">
        <f>SUMIF(Q:Q,"*[Organisation]*",R:R)</f>
        <v>0.1875</v>
      </c>
      <c r="H10" s="193">
        <f>SUMIF(Meetings!L4:L11,"*Soboth*",Meetings!K4:K11)</f>
        <v>6.5972222222222224E-2</v>
      </c>
      <c r="I10" s="194">
        <f>SUM(C10:H11)</f>
        <v>0.63194444444444442</v>
      </c>
      <c r="S10" s="87" t="s">
        <v>149</v>
      </c>
      <c r="T10" s="81">
        <v>1.0416666666666666E-2</v>
      </c>
      <c r="U10" t="s">
        <v>130</v>
      </c>
      <c r="V10" s="81">
        <v>3.125E-2</v>
      </c>
    </row>
    <row r="11" spans="1:24" x14ac:dyDescent="0.25">
      <c r="B11" s="198"/>
      <c r="C11" s="193"/>
      <c r="D11" s="193"/>
      <c r="E11" s="193"/>
      <c r="F11" s="193"/>
      <c r="G11" s="193"/>
      <c r="H11" s="193"/>
      <c r="I11" s="194"/>
      <c r="S11" s="87" t="s">
        <v>151</v>
      </c>
      <c r="T11" s="81">
        <v>5.2083333333333336E-2</v>
      </c>
    </row>
    <row r="12" spans="1:24" x14ac:dyDescent="0.25">
      <c r="B12" s="198" t="s">
        <v>4</v>
      </c>
      <c r="C12" s="193">
        <f>SUMIF(O:O,"*[Implementierung]*",P:P)</f>
        <v>0.15277777777777776</v>
      </c>
      <c r="D12" s="193">
        <f>SUMIF(O:O,"*[Testen]*",P:P)</f>
        <v>0</v>
      </c>
      <c r="E12" s="193">
        <f>SUMIF(O:O,"*[Entwurf]*",P:P)</f>
        <v>0.14583333333333334</v>
      </c>
      <c r="F12" s="193">
        <f>SUMIF(O:O,"*[Recherche]*",P:P)</f>
        <v>0</v>
      </c>
      <c r="G12" s="193">
        <f>SUMIF(O:O,"*[Organisation]*",P:P)</f>
        <v>7.2916666666666671E-2</v>
      </c>
      <c r="H12" s="193">
        <f>SUMIF(Meetings!O4:O11,"*Soboth*",Meetings!N4:N11)</f>
        <v>3.125E-2</v>
      </c>
      <c r="I12" s="194">
        <f>SUM(C12:H13)</f>
        <v>0.40277777777777779</v>
      </c>
      <c r="S12" s="87" t="s">
        <v>152</v>
      </c>
      <c r="T12" s="81">
        <v>0.10416666666666667</v>
      </c>
    </row>
    <row r="13" spans="1:24" x14ac:dyDescent="0.25">
      <c r="B13" s="198"/>
      <c r="C13" s="193"/>
      <c r="D13" s="193"/>
      <c r="E13" s="193"/>
      <c r="F13" s="193"/>
      <c r="G13" s="193"/>
      <c r="H13" s="193"/>
      <c r="I13" s="194"/>
    </row>
    <row r="14" spans="1:24" x14ac:dyDescent="0.25">
      <c r="B14" s="198" t="s">
        <v>5</v>
      </c>
      <c r="C14" s="193">
        <f>SUMIF(M:M,"*[Implementierung]*",N:N)</f>
        <v>0</v>
      </c>
      <c r="D14" s="193">
        <f>SUMIF(M:M,"*[Testen]*",N:N)</f>
        <v>0</v>
      </c>
      <c r="E14" s="193">
        <f>SUMIF(M:M,"*[Entwurf]*",N:N)</f>
        <v>0</v>
      </c>
      <c r="F14" s="193">
        <f>SUMIF(M:M,"*[Recherche]*",N:N)</f>
        <v>0</v>
      </c>
      <c r="G14" s="193">
        <f>SUMIF(M:M,"*[Organisation]*",N:N)</f>
        <v>0</v>
      </c>
      <c r="H14" s="193">
        <f>SUMIF(Meetings!R4:R11,"*Soboth*",Meetings!Q4:Q11)</f>
        <v>3.125E-2</v>
      </c>
      <c r="I14" s="194">
        <f>SUM(C14:H15)</f>
        <v>3.125E-2</v>
      </c>
    </row>
    <row r="15" spans="1:24" x14ac:dyDescent="0.25">
      <c r="B15" s="198"/>
      <c r="C15" s="193"/>
      <c r="D15" s="193"/>
      <c r="E15" s="193"/>
      <c r="F15" s="193"/>
      <c r="G15" s="193"/>
      <c r="H15" s="193"/>
      <c r="I15" s="194"/>
    </row>
    <row r="16" spans="1:24" x14ac:dyDescent="0.25">
      <c r="B16" s="198" t="s">
        <v>6</v>
      </c>
      <c r="C16" s="193">
        <f>SUMIF(K:K,"*[Implementierung]*",L:L)</f>
        <v>0</v>
      </c>
      <c r="D16" s="193">
        <f>SUMIF(K:K,"*[Testen]*",L:L)</f>
        <v>0</v>
      </c>
      <c r="E16" s="193">
        <f>SUMIF(K:K,"*[Entwurf]*",L:L)</f>
        <v>0</v>
      </c>
      <c r="F16" s="193">
        <f>SUMIF(K:K,"*[Recherche]*",L:L)</f>
        <v>0</v>
      </c>
      <c r="G16" s="193">
        <f>SUMIF(K:K,"*[Organisation]*",L:L)</f>
        <v>0</v>
      </c>
      <c r="H16" s="193">
        <f>SUMIF(Meetings!U4:U11,"*Soboth*",Meetings!T4:T11)</f>
        <v>0</v>
      </c>
      <c r="I16" s="194">
        <f>SUM(C16:H17)</f>
        <v>0</v>
      </c>
    </row>
    <row r="17" spans="2:9" x14ac:dyDescent="0.25">
      <c r="B17" s="198"/>
      <c r="C17" s="193"/>
      <c r="D17" s="193"/>
      <c r="E17" s="193"/>
      <c r="F17" s="193"/>
      <c r="G17" s="193"/>
      <c r="H17" s="193"/>
      <c r="I17" s="194"/>
    </row>
    <row r="18" spans="2:9" x14ac:dyDescent="0.25">
      <c r="B18" s="198" t="s">
        <v>28</v>
      </c>
      <c r="C18" s="193"/>
      <c r="D18" s="193"/>
      <c r="E18" s="193"/>
      <c r="F18" s="193"/>
      <c r="G18" s="193"/>
      <c r="H18" s="193"/>
      <c r="I18" s="194">
        <f>SUM(C18:H19)</f>
        <v>0</v>
      </c>
    </row>
    <row r="19" spans="2:9" x14ac:dyDescent="0.25">
      <c r="B19" s="198"/>
      <c r="C19" s="193"/>
      <c r="D19" s="193"/>
      <c r="E19" s="193"/>
      <c r="F19" s="193"/>
      <c r="G19" s="193"/>
      <c r="H19" s="193"/>
      <c r="I19" s="194"/>
    </row>
    <row r="20" spans="2:9" x14ac:dyDescent="0.25">
      <c r="B20" s="198" t="s">
        <v>29</v>
      </c>
      <c r="C20" s="193"/>
      <c r="D20" s="193"/>
      <c r="E20" s="193"/>
      <c r="F20" s="193"/>
      <c r="G20" s="193"/>
      <c r="H20" s="193"/>
      <c r="I20" s="194">
        <f>SUM(C20:H21)</f>
        <v>0</v>
      </c>
    </row>
    <row r="21" spans="2:9" x14ac:dyDescent="0.25">
      <c r="B21" s="198"/>
      <c r="C21" s="193"/>
      <c r="D21" s="193"/>
      <c r="E21" s="193"/>
      <c r="F21" s="193"/>
      <c r="G21" s="193"/>
      <c r="H21" s="193"/>
      <c r="I21" s="194"/>
    </row>
    <row r="22" spans="2:9" x14ac:dyDescent="0.25">
      <c r="B22" s="198" t="s">
        <v>30</v>
      </c>
      <c r="C22" s="193"/>
      <c r="D22" s="193"/>
      <c r="E22" s="193"/>
      <c r="F22" s="193"/>
      <c r="G22" s="193"/>
      <c r="H22" s="193"/>
      <c r="I22" s="194">
        <f>SUM(C22:H23)</f>
        <v>0</v>
      </c>
    </row>
    <row r="23" spans="2:9" x14ac:dyDescent="0.25">
      <c r="B23" s="198"/>
      <c r="C23" s="193"/>
      <c r="D23" s="193"/>
      <c r="E23" s="193"/>
      <c r="F23" s="193"/>
      <c r="G23" s="193"/>
      <c r="H23" s="193"/>
      <c r="I23" s="194"/>
    </row>
    <row r="24" spans="2:9" x14ac:dyDescent="0.25">
      <c r="B24" s="198" t="s">
        <v>31</v>
      </c>
      <c r="C24" s="193"/>
      <c r="D24" s="193"/>
      <c r="E24" s="193"/>
      <c r="F24" s="193"/>
      <c r="G24" s="193"/>
      <c r="H24" s="193"/>
      <c r="I24" s="194">
        <f>SUM(C24:H25)</f>
        <v>0</v>
      </c>
    </row>
    <row r="25" spans="2:9" x14ac:dyDescent="0.25">
      <c r="B25" s="198"/>
      <c r="C25" s="193"/>
      <c r="D25" s="193"/>
      <c r="E25" s="193"/>
      <c r="F25" s="193"/>
      <c r="G25" s="193"/>
      <c r="H25" s="193"/>
      <c r="I25" s="194"/>
    </row>
    <row r="26" spans="2:9" x14ac:dyDescent="0.25">
      <c r="B26" s="198" t="s">
        <v>32</v>
      </c>
      <c r="C26" s="193"/>
      <c r="D26" s="193"/>
      <c r="E26" s="193"/>
      <c r="F26" s="193"/>
      <c r="G26" s="193"/>
      <c r="H26" s="193"/>
      <c r="I26" s="194">
        <f>SUM(C26:H27)</f>
        <v>0</v>
      </c>
    </row>
    <row r="27" spans="2:9" x14ac:dyDescent="0.25">
      <c r="B27" s="198"/>
      <c r="C27" s="193"/>
      <c r="D27" s="193"/>
      <c r="E27" s="193"/>
      <c r="F27" s="193"/>
      <c r="G27" s="193"/>
      <c r="H27" s="193"/>
      <c r="I27" s="194"/>
    </row>
    <row r="28" spans="2:9" x14ac:dyDescent="0.25">
      <c r="B28" s="198" t="s">
        <v>33</v>
      </c>
      <c r="C28" s="193"/>
      <c r="D28" s="193"/>
      <c r="E28" s="193"/>
      <c r="F28" s="193"/>
      <c r="G28" s="193"/>
      <c r="H28" s="193"/>
      <c r="I28" s="194">
        <f>SUM(C28:H29)</f>
        <v>0</v>
      </c>
    </row>
    <row r="29" spans="2:9" x14ac:dyDescent="0.25">
      <c r="B29" s="198"/>
      <c r="C29" s="193"/>
      <c r="D29" s="193"/>
      <c r="E29" s="193"/>
      <c r="F29" s="193"/>
      <c r="G29" s="193"/>
      <c r="H29" s="193"/>
      <c r="I29" s="194"/>
    </row>
    <row r="30" spans="2:9" x14ac:dyDescent="0.25">
      <c r="B30" s="198" t="s">
        <v>34</v>
      </c>
      <c r="C30" s="193"/>
      <c r="D30" s="193"/>
      <c r="E30" s="193"/>
      <c r="F30" s="193"/>
      <c r="G30" s="193"/>
      <c r="H30" s="193"/>
      <c r="I30" s="194">
        <f>SUM(C30:H31)</f>
        <v>0</v>
      </c>
    </row>
    <row r="31" spans="2:9" x14ac:dyDescent="0.25">
      <c r="B31" s="198"/>
      <c r="C31" s="193"/>
      <c r="D31" s="193"/>
      <c r="E31" s="193"/>
      <c r="F31" s="193"/>
      <c r="G31" s="193"/>
      <c r="H31" s="193"/>
      <c r="I31" s="195"/>
    </row>
    <row r="32" spans="2:9" x14ac:dyDescent="0.25">
      <c r="B32" s="198" t="s">
        <v>392</v>
      </c>
      <c r="C32" s="193"/>
      <c r="D32" s="193"/>
      <c r="E32" s="193"/>
      <c r="F32" s="193"/>
      <c r="G32" s="193"/>
      <c r="H32" s="193"/>
      <c r="I32" s="194">
        <f>SUM(C32:H33)</f>
        <v>0</v>
      </c>
    </row>
    <row r="33" spans="2:9" x14ac:dyDescent="0.25">
      <c r="B33" s="198"/>
      <c r="C33" s="193"/>
      <c r="D33" s="193"/>
      <c r="E33" s="193"/>
      <c r="F33" s="193"/>
      <c r="G33" s="193"/>
      <c r="H33" s="193"/>
      <c r="I33" s="195"/>
    </row>
    <row r="34" spans="2:9" x14ac:dyDescent="0.25">
      <c r="B34" s="198" t="s">
        <v>393</v>
      </c>
      <c r="C34" s="193"/>
      <c r="D34" s="193"/>
      <c r="E34" s="193"/>
      <c r="F34" s="193"/>
      <c r="G34" s="193"/>
      <c r="H34" s="193"/>
      <c r="I34" s="194">
        <f>SUM(C34:H35)</f>
        <v>0</v>
      </c>
    </row>
    <row r="35" spans="2:9" x14ac:dyDescent="0.25">
      <c r="B35" s="198"/>
      <c r="C35" s="193"/>
      <c r="D35" s="193"/>
      <c r="E35" s="193"/>
      <c r="F35" s="193"/>
      <c r="G35" s="193"/>
      <c r="H35" s="193"/>
      <c r="I35" s="195"/>
    </row>
    <row r="36" spans="2:9" x14ac:dyDescent="0.25">
      <c r="B36" s="198" t="s">
        <v>394</v>
      </c>
      <c r="C36" s="193"/>
      <c r="D36" s="193"/>
      <c r="E36" s="193"/>
      <c r="F36" s="193"/>
      <c r="G36" s="193"/>
      <c r="H36" s="193"/>
      <c r="I36" s="194">
        <f>SUM(C36:H37)</f>
        <v>0</v>
      </c>
    </row>
    <row r="37" spans="2:9" ht="15.75" thickBot="1" x14ac:dyDescent="0.3">
      <c r="B37" s="198"/>
      <c r="C37" s="193"/>
      <c r="D37" s="193"/>
      <c r="E37" s="193"/>
      <c r="F37" s="193"/>
      <c r="G37" s="193"/>
      <c r="H37" s="193"/>
      <c r="I37" s="195"/>
    </row>
    <row r="38" spans="2:9" x14ac:dyDescent="0.25">
      <c r="B38" s="192" t="s">
        <v>43</v>
      </c>
      <c r="C38" s="194">
        <f t="shared" ref="C38:H38" si="0">SUM(C4:C31)</f>
        <v>0.72916666666666663</v>
      </c>
      <c r="D38" s="194">
        <f t="shared" si="0"/>
        <v>0</v>
      </c>
      <c r="E38" s="194">
        <f t="shared" si="0"/>
        <v>0.33680555555555558</v>
      </c>
      <c r="F38" s="194">
        <f t="shared" si="0"/>
        <v>0.65277777777777779</v>
      </c>
      <c r="G38" s="194">
        <f t="shared" si="0"/>
        <v>0.29166666666666669</v>
      </c>
      <c r="H38" s="199">
        <f t="shared" si="0"/>
        <v>0.55902777777777779</v>
      </c>
      <c r="I38" s="201">
        <f>SUM(C38:H39)</f>
        <v>2.5694444444444442</v>
      </c>
    </row>
    <row r="39" spans="2:9" ht="15.75" thickBot="1" x14ac:dyDescent="0.3">
      <c r="B39" s="192"/>
      <c r="C39" s="192"/>
      <c r="D39" s="192"/>
      <c r="E39" s="192"/>
      <c r="F39" s="192"/>
      <c r="G39" s="192"/>
      <c r="H39" s="200"/>
      <c r="I39" s="202"/>
    </row>
  </sheetData>
  <mergeCells count="146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K6:K7"/>
    <mergeCell ref="B38:B39"/>
    <mergeCell ref="C38:C39"/>
    <mergeCell ref="D38:D39"/>
    <mergeCell ref="E38:E39"/>
    <mergeCell ref="F38:F39"/>
    <mergeCell ref="G38:G39"/>
    <mergeCell ref="H38:H39"/>
    <mergeCell ref="I38:I39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AN39"/>
  <sheetViews>
    <sheetView workbookViewId="0">
      <selection activeCell="K22" sqref="K22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40" ht="26.25" x14ac:dyDescent="0.4">
      <c r="A1" s="190" t="s">
        <v>51</v>
      </c>
      <c r="B1" s="190"/>
      <c r="C1" s="190"/>
      <c r="K1" s="50" t="s">
        <v>56</v>
      </c>
      <c r="L1" s="2"/>
    </row>
    <row r="3" spans="1:40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392</v>
      </c>
      <c r="L3" s="58"/>
      <c r="M3" s="58" t="s">
        <v>34</v>
      </c>
      <c r="N3" s="58"/>
      <c r="O3" s="58" t="s">
        <v>33</v>
      </c>
      <c r="P3" s="58"/>
      <c r="Q3" s="58" t="s">
        <v>32</v>
      </c>
      <c r="R3" s="58"/>
      <c r="S3" s="58" t="s">
        <v>31</v>
      </c>
      <c r="T3" s="58"/>
      <c r="U3" s="58" t="s">
        <v>30</v>
      </c>
      <c r="V3" s="58"/>
      <c r="W3" s="58" t="s">
        <v>29</v>
      </c>
      <c r="X3" s="58"/>
      <c r="Y3" s="58" t="s">
        <v>28</v>
      </c>
      <c r="Z3" s="58"/>
      <c r="AA3" s="58" t="s">
        <v>6</v>
      </c>
      <c r="AB3" s="58"/>
      <c r="AC3" s="58" t="s">
        <v>5</v>
      </c>
      <c r="AD3" s="58"/>
      <c r="AE3" s="58" t="s">
        <v>4</v>
      </c>
      <c r="AF3" s="58"/>
      <c r="AG3" s="58" t="s">
        <v>3</v>
      </c>
      <c r="AH3" s="58"/>
      <c r="AI3" s="58" t="s">
        <v>2</v>
      </c>
      <c r="AJ3" s="58"/>
      <c r="AK3" s="58" t="s">
        <v>1</v>
      </c>
      <c r="AL3" s="58"/>
      <c r="AM3" s="47" t="s">
        <v>37</v>
      </c>
      <c r="AN3" s="47"/>
    </row>
    <row r="4" spans="1:40" x14ac:dyDescent="0.25">
      <c r="B4" s="196" t="s">
        <v>37</v>
      </c>
      <c r="C4" s="186">
        <f>SUMIF(AM:AM,"*[Implementierung]*",AN:AN)</f>
        <v>0</v>
      </c>
      <c r="D4" s="186">
        <f>SUMIF(AM:AM,"*[Testen]*",AN:AN)</f>
        <v>0</v>
      </c>
      <c r="E4" s="186">
        <f>SUMIF(AM:AM,"*[Entwurf]*",AN:AN)</f>
        <v>0</v>
      </c>
      <c r="F4" s="186">
        <f>SUMIF(AM:AM,"*[Recherche]*",AN:AN)</f>
        <v>0.22916666666666666</v>
      </c>
      <c r="G4" s="186">
        <f>SUMIF(AM:AM,"*[Organisation]*",AN:AN)</f>
        <v>0</v>
      </c>
      <c r="H4" s="186">
        <f>SUMIF(Meetings!C4:C11,"*Stephan*",Meetings!B4:B11)</f>
        <v>0.29166666666666669</v>
      </c>
      <c r="I4" s="194">
        <f>SUM(C4:H5)</f>
        <v>0.52083333333333337</v>
      </c>
      <c r="K4" s="52" t="s">
        <v>59</v>
      </c>
      <c r="L4" s="48" t="s">
        <v>60</v>
      </c>
      <c r="M4" s="52" t="s">
        <v>59</v>
      </c>
      <c r="N4" s="48" t="s">
        <v>60</v>
      </c>
      <c r="O4" s="52" t="s">
        <v>59</v>
      </c>
      <c r="P4" s="48" t="s">
        <v>60</v>
      </c>
      <c r="Q4" s="52" t="s">
        <v>59</v>
      </c>
      <c r="R4" s="48" t="s">
        <v>60</v>
      </c>
      <c r="S4" s="52" t="s">
        <v>59</v>
      </c>
      <c r="T4" s="48" t="s">
        <v>60</v>
      </c>
      <c r="U4" s="52" t="s">
        <v>59</v>
      </c>
      <c r="V4" s="48" t="s">
        <v>60</v>
      </c>
      <c r="W4" s="52" t="s">
        <v>59</v>
      </c>
      <c r="X4" s="48" t="s">
        <v>60</v>
      </c>
      <c r="Y4" s="52" t="s">
        <v>59</v>
      </c>
      <c r="Z4" s="48" t="s">
        <v>60</v>
      </c>
      <c r="AA4" s="52" t="s">
        <v>59</v>
      </c>
      <c r="AB4" s="48" t="s">
        <v>60</v>
      </c>
      <c r="AC4" s="52" t="s">
        <v>59</v>
      </c>
      <c r="AD4" s="48" t="s">
        <v>60</v>
      </c>
      <c r="AE4" s="52" t="s">
        <v>59</v>
      </c>
      <c r="AF4" s="48" t="s">
        <v>60</v>
      </c>
      <c r="AG4" s="52" t="s">
        <v>59</v>
      </c>
      <c r="AH4" s="48" t="s">
        <v>60</v>
      </c>
      <c r="AI4" s="52" t="s">
        <v>59</v>
      </c>
      <c r="AJ4" s="48" t="s">
        <v>60</v>
      </c>
      <c r="AK4" s="52" t="s">
        <v>59</v>
      </c>
      <c r="AL4" s="48" t="s">
        <v>60</v>
      </c>
      <c r="AM4" s="52" t="s">
        <v>59</v>
      </c>
      <c r="AN4" s="48" t="s">
        <v>60</v>
      </c>
    </row>
    <row r="5" spans="1:40" x14ac:dyDescent="0.25">
      <c r="B5" s="197"/>
      <c r="C5" s="186"/>
      <c r="D5" s="186"/>
      <c r="E5" s="186"/>
      <c r="F5" s="186"/>
      <c r="G5" s="186"/>
      <c r="H5" s="186"/>
      <c r="I5" s="194"/>
      <c r="K5" t="s">
        <v>473</v>
      </c>
      <c r="L5" s="81">
        <v>1.0416666666666666E-2</v>
      </c>
      <c r="M5" t="s">
        <v>486</v>
      </c>
      <c r="N5" s="81">
        <v>5.2083333333333336E-2</v>
      </c>
      <c r="O5" t="s">
        <v>358</v>
      </c>
      <c r="P5" s="81">
        <v>0.11805555555555557</v>
      </c>
      <c r="Q5" t="s">
        <v>387</v>
      </c>
      <c r="R5" s="81">
        <v>1.7361111111111112E-2</v>
      </c>
      <c r="S5" t="s">
        <v>423</v>
      </c>
      <c r="T5" s="81">
        <v>5.2083333333333336E-2</v>
      </c>
      <c r="U5" t="s">
        <v>407</v>
      </c>
      <c r="V5" s="81">
        <v>9.7222222222222224E-2</v>
      </c>
      <c r="W5" t="s">
        <v>353</v>
      </c>
      <c r="X5" s="81">
        <v>0.11041666666666666</v>
      </c>
      <c r="Y5" t="s">
        <v>314</v>
      </c>
      <c r="Z5" s="81">
        <v>9.1666666666666674E-2</v>
      </c>
      <c r="AA5" t="s">
        <v>283</v>
      </c>
      <c r="AB5" s="81">
        <v>1.1805555555555555E-2</v>
      </c>
      <c r="AC5" t="s">
        <v>258</v>
      </c>
      <c r="AD5" s="81">
        <v>8.3333333333333329E-2</v>
      </c>
      <c r="AE5" t="s">
        <v>242</v>
      </c>
      <c r="AF5" s="81">
        <v>1.0416666666666666E-2</v>
      </c>
      <c r="AG5" t="s">
        <v>196</v>
      </c>
      <c r="AH5" s="81">
        <v>0.17708333333333334</v>
      </c>
      <c r="AI5" t="s">
        <v>145</v>
      </c>
      <c r="AJ5" s="81">
        <v>4.1666666666666664E-2</v>
      </c>
      <c r="AK5" t="s">
        <v>131</v>
      </c>
      <c r="AL5" s="81">
        <v>9.0277777777777776E-2</v>
      </c>
      <c r="AM5" s="2" t="s">
        <v>74</v>
      </c>
      <c r="AN5" s="85">
        <v>6.25E-2</v>
      </c>
    </row>
    <row r="6" spans="1:40" x14ac:dyDescent="0.25">
      <c r="B6" s="198" t="s">
        <v>1</v>
      </c>
      <c r="C6" s="193">
        <f>SUMIF(AK:AK,"*[Implementierung]*",AL:AL)</f>
        <v>0.16527777777777777</v>
      </c>
      <c r="D6" s="193">
        <f>SUMIF(AK:AK,"*[Testen]*",AL:AL)</f>
        <v>4.9305555555555547E-2</v>
      </c>
      <c r="E6" s="193">
        <f>SUMIF(AK:AK,"*[Entwurf]*",AL:AL)</f>
        <v>0</v>
      </c>
      <c r="F6" s="193">
        <f>SUMIF(AK:AK,"*[Recherche]*",AL:AL)</f>
        <v>0</v>
      </c>
      <c r="G6" s="193">
        <f>SUMIF(AK:AK,"*[Organisation]*",AL:AL)</f>
        <v>0.36805555555555552</v>
      </c>
      <c r="H6" s="193">
        <f>SUMIF(Meetings!F4:F11,"*Stephan*",Meetings!E4:E11)</f>
        <v>0.1111111111111111</v>
      </c>
      <c r="I6" s="194">
        <f>SUM(C6:H7)</f>
        <v>0.69374999999999987</v>
      </c>
      <c r="K6" t="s">
        <v>502</v>
      </c>
      <c r="L6" s="81">
        <v>4.1666666666666664E-2</v>
      </c>
      <c r="M6" t="s">
        <v>472</v>
      </c>
      <c r="N6" s="81">
        <v>0.20208333333333331</v>
      </c>
      <c r="O6" t="s">
        <v>472</v>
      </c>
      <c r="P6" s="81">
        <v>3.4722222222222224E-2</v>
      </c>
      <c r="Q6" t="s">
        <v>455</v>
      </c>
      <c r="R6" s="81">
        <v>5.5555555555555558E-3</v>
      </c>
      <c r="S6" t="s">
        <v>427</v>
      </c>
      <c r="T6" s="81">
        <v>0.11944444444444445</v>
      </c>
      <c r="U6" t="s">
        <v>352</v>
      </c>
      <c r="V6" s="81">
        <v>2.4305555555555556E-2</v>
      </c>
      <c r="W6" t="s">
        <v>362</v>
      </c>
      <c r="X6" s="81">
        <v>1.3888888888888888E-2</v>
      </c>
      <c r="Y6" t="s">
        <v>326</v>
      </c>
      <c r="Z6" s="81">
        <v>4.5138888888888888E-2</v>
      </c>
      <c r="AA6" t="s">
        <v>291</v>
      </c>
      <c r="AB6" s="81">
        <v>4.5138888888888888E-2</v>
      </c>
      <c r="AC6" t="s">
        <v>271</v>
      </c>
      <c r="AD6" s="81">
        <v>0.17986111111111111</v>
      </c>
      <c r="AE6" t="s">
        <v>244</v>
      </c>
      <c r="AF6" s="81">
        <v>2.0833333333333332E-2</v>
      </c>
      <c r="AG6" t="s">
        <v>195</v>
      </c>
      <c r="AH6" s="81">
        <v>2.7777777777777776E-2</v>
      </c>
      <c r="AI6" t="s">
        <v>148</v>
      </c>
      <c r="AJ6" s="81">
        <v>6.9444444444444441E-3</v>
      </c>
      <c r="AK6" t="s">
        <v>121</v>
      </c>
      <c r="AL6" s="81">
        <v>6.25E-2</v>
      </c>
      <c r="AM6" s="2" t="s">
        <v>75</v>
      </c>
      <c r="AN6" s="85">
        <v>0.16666666666666666</v>
      </c>
    </row>
    <row r="7" spans="1:40" x14ac:dyDescent="0.25">
      <c r="B7" s="198"/>
      <c r="C7" s="193"/>
      <c r="D7" s="193"/>
      <c r="E7" s="193"/>
      <c r="F7" s="193"/>
      <c r="G7" s="193"/>
      <c r="H7" s="193"/>
      <c r="I7" s="194"/>
      <c r="K7" t="s">
        <v>504</v>
      </c>
      <c r="L7" s="81">
        <v>0.12847222222222224</v>
      </c>
      <c r="M7" t="s">
        <v>487</v>
      </c>
      <c r="N7" s="81">
        <v>1.7361111111111112E-2</v>
      </c>
      <c r="O7" t="s">
        <v>450</v>
      </c>
      <c r="P7" s="81">
        <v>8.3333333333333329E-2</v>
      </c>
      <c r="Q7" t="s">
        <v>385</v>
      </c>
      <c r="R7" s="81">
        <v>0.22916666666666666</v>
      </c>
      <c r="S7" t="s">
        <v>430</v>
      </c>
      <c r="T7" s="81">
        <v>0.1451388888888889</v>
      </c>
      <c r="U7" t="s">
        <v>376</v>
      </c>
      <c r="V7" s="81">
        <v>0.20694444444444446</v>
      </c>
      <c r="W7" t="s">
        <v>363</v>
      </c>
      <c r="X7" s="81">
        <v>1.9444444444444445E-2</v>
      </c>
      <c r="Y7" t="s">
        <v>336</v>
      </c>
      <c r="Z7" s="81">
        <v>1.0416666666666666E-2</v>
      </c>
      <c r="AA7" t="s">
        <v>292</v>
      </c>
      <c r="AB7" s="81">
        <v>0.16666666666666666</v>
      </c>
      <c r="AC7" t="s">
        <v>274</v>
      </c>
      <c r="AD7" s="81">
        <v>4.1666666666666664E-2</v>
      </c>
      <c r="AE7" t="s">
        <v>247</v>
      </c>
      <c r="AF7" s="81">
        <v>9.9999999999999992E-2</v>
      </c>
      <c r="AG7" t="s">
        <v>227</v>
      </c>
      <c r="AH7" s="81">
        <v>9.7916666666666666E-2</v>
      </c>
      <c r="AI7" t="s">
        <v>185</v>
      </c>
      <c r="AJ7" s="81">
        <v>3.4722222222222224E-2</v>
      </c>
      <c r="AK7" t="s">
        <v>132</v>
      </c>
      <c r="AL7" s="81">
        <v>4.1666666666666664E-2</v>
      </c>
    </row>
    <row r="8" spans="1:40" x14ac:dyDescent="0.25">
      <c r="B8" s="198" t="s">
        <v>2</v>
      </c>
      <c r="C8" s="193">
        <f>SUMIF(AI:AI,"*[Implementierung]*",AJ:AJ)</f>
        <v>0.4375</v>
      </c>
      <c r="D8" s="193">
        <f>SUMIF(AI:AI,"*[Testen]*",AJ:AJ)</f>
        <v>5.4166666666666669E-2</v>
      </c>
      <c r="E8" s="193">
        <f>SUMIF(AI:AI,"*[Entwurf]*",AJ:AJ)</f>
        <v>8.0555555555555561E-2</v>
      </c>
      <c r="F8" s="193">
        <f>SUMIF(AI:AI,"*[Recherche]*",AJ:AJ)</f>
        <v>0</v>
      </c>
      <c r="G8" s="193">
        <f>SUMIF(AI:AI,"*[Organisation]*",AJ:AJ)</f>
        <v>7.4999999999999997E-2</v>
      </c>
      <c r="H8" s="193">
        <f>SUMIF(Meetings!I4:I11,"*Stephan*",Meetings!H4:H11)</f>
        <v>0.10416666666666666</v>
      </c>
      <c r="I8" s="194">
        <f>SUM(C8:H9)</f>
        <v>0.75138888888888888</v>
      </c>
      <c r="K8" t="s">
        <v>505</v>
      </c>
      <c r="L8" s="81">
        <v>6.9444444444444441E-3</v>
      </c>
      <c r="M8" t="s">
        <v>488</v>
      </c>
      <c r="N8" s="81">
        <v>3.472222222222222E-3</v>
      </c>
      <c r="O8" t="s">
        <v>451</v>
      </c>
      <c r="P8" s="81">
        <v>2.4305555555555556E-2</v>
      </c>
      <c r="Q8" t="s">
        <v>427</v>
      </c>
      <c r="R8" s="81">
        <v>0.12708333333333333</v>
      </c>
      <c r="S8" t="s">
        <v>434</v>
      </c>
      <c r="T8" s="81">
        <v>1.3194444444444444E-2</v>
      </c>
      <c r="U8" t="s">
        <v>411</v>
      </c>
      <c r="V8" s="81">
        <v>0.14791666666666667</v>
      </c>
      <c r="W8" t="s">
        <v>365</v>
      </c>
      <c r="X8" s="81">
        <v>1.3888888888888888E-2</v>
      </c>
      <c r="Y8" t="s">
        <v>340</v>
      </c>
      <c r="Z8" s="81">
        <v>1.7361111111111112E-2</v>
      </c>
      <c r="AA8" t="s">
        <v>293</v>
      </c>
      <c r="AB8" s="81">
        <v>2.4305555555555556E-2</v>
      </c>
      <c r="AC8" t="s">
        <v>277</v>
      </c>
      <c r="AD8" s="81">
        <v>3.4722222222222224E-2</v>
      </c>
      <c r="AE8" t="s">
        <v>252</v>
      </c>
      <c r="AF8" s="81">
        <v>9.6527777777777768E-2</v>
      </c>
      <c r="AG8" t="s">
        <v>228</v>
      </c>
      <c r="AH8" s="81">
        <v>2.6388888888888889E-2</v>
      </c>
      <c r="AI8" t="s">
        <v>186</v>
      </c>
      <c r="AJ8" s="81">
        <v>5.5555555555555552E-2</v>
      </c>
      <c r="AK8" t="s">
        <v>133</v>
      </c>
      <c r="AL8" s="81">
        <v>2.7777777777777776E-2</v>
      </c>
    </row>
    <row r="9" spans="1:40" x14ac:dyDescent="0.25">
      <c r="B9" s="198"/>
      <c r="C9" s="193"/>
      <c r="D9" s="193"/>
      <c r="E9" s="193"/>
      <c r="F9" s="193"/>
      <c r="G9" s="193"/>
      <c r="H9" s="193"/>
      <c r="I9" s="194"/>
      <c r="K9" t="s">
        <v>515</v>
      </c>
      <c r="L9" s="81">
        <v>4.1666666666666664E-2</v>
      </c>
      <c r="M9" t="s">
        <v>490</v>
      </c>
      <c r="N9" s="81">
        <v>0.11666666666666665</v>
      </c>
      <c r="O9" t="s">
        <v>475</v>
      </c>
      <c r="P9" s="81">
        <v>1.7361111111111112E-2</v>
      </c>
      <c r="Q9" t="s">
        <v>430</v>
      </c>
      <c r="R9" s="81">
        <v>2.7777777777777776E-2</v>
      </c>
      <c r="S9" t="s">
        <v>437</v>
      </c>
      <c r="T9" s="81">
        <v>2.7083333333333334E-2</v>
      </c>
      <c r="U9" t="s">
        <v>416</v>
      </c>
      <c r="V9" s="81">
        <v>7.3611111111111113E-2</v>
      </c>
      <c r="W9" t="s">
        <v>370</v>
      </c>
      <c r="X9" s="81">
        <v>3.472222222222222E-3</v>
      </c>
      <c r="Y9" t="s">
        <v>343</v>
      </c>
      <c r="Z9" s="81">
        <v>0.17083333333333331</v>
      </c>
      <c r="AA9" t="s">
        <v>294</v>
      </c>
      <c r="AB9" s="81">
        <v>9.7222222222222224E-2</v>
      </c>
      <c r="AC9" t="s">
        <v>285</v>
      </c>
      <c r="AD9" s="81">
        <v>7.7777777777777779E-2</v>
      </c>
      <c r="AE9" t="s">
        <v>253</v>
      </c>
      <c r="AF9" s="81">
        <v>8.3333333333333329E-2</v>
      </c>
      <c r="AG9" t="s">
        <v>229</v>
      </c>
      <c r="AH9" s="81">
        <v>2.4305555555555556E-2</v>
      </c>
      <c r="AI9" t="s">
        <v>187</v>
      </c>
      <c r="AJ9" s="81">
        <v>8.0555555555555561E-2</v>
      </c>
      <c r="AK9" t="s">
        <v>134</v>
      </c>
      <c r="AL9" s="81">
        <v>0.12847222222222224</v>
      </c>
    </row>
    <row r="10" spans="1:40" x14ac:dyDescent="0.25">
      <c r="B10" s="198" t="s">
        <v>3</v>
      </c>
      <c r="C10" s="193">
        <f>SUMIF(AG:AG,"*[Implementierung]*",AH:AH)</f>
        <v>0.50277777777777777</v>
      </c>
      <c r="D10" s="193">
        <f>SUMIF(AG:AG,"*[Testen]*",AH:AH)</f>
        <v>7.2916666666666671E-2</v>
      </c>
      <c r="E10" s="193">
        <f>SUMIF(AG:AG,"*[Entwurf]*",AH:AH)</f>
        <v>7.6388888888888895E-2</v>
      </c>
      <c r="F10" s="193">
        <f>SUMIF(AG:AG,"*[Recherche]*",AH:AH)</f>
        <v>5.5555555555555552E-2</v>
      </c>
      <c r="G10" s="193">
        <f>SUMIF(AG:AG,"*[Organisation]*",AH:AH)</f>
        <v>0</v>
      </c>
      <c r="H10" s="193">
        <f>SUMIF(Meetings!L4:L11,"*Stephan*",Meetings!K4:K11)</f>
        <v>0.10763888888888888</v>
      </c>
      <c r="I10" s="194">
        <f>SUM(C10:H11)</f>
        <v>0.81527777777777777</v>
      </c>
      <c r="K10" t="s">
        <v>508</v>
      </c>
      <c r="L10" s="81">
        <v>0.35000000000000003</v>
      </c>
      <c r="M10" t="s">
        <v>491</v>
      </c>
      <c r="N10" s="81">
        <v>1.0416666666666666E-2</v>
      </c>
      <c r="O10" t="s">
        <v>476</v>
      </c>
      <c r="P10" s="81">
        <v>1.3888888888888888E-2</v>
      </c>
      <c r="Q10" t="s">
        <v>459</v>
      </c>
      <c r="R10" s="81">
        <v>3.8194444444444441E-2</v>
      </c>
      <c r="S10" t="s">
        <v>439</v>
      </c>
      <c r="T10" s="81">
        <v>4.8611111111111112E-2</v>
      </c>
      <c r="U10" t="s">
        <v>418</v>
      </c>
      <c r="V10" s="81">
        <v>1.3888888888888888E-2</v>
      </c>
      <c r="W10" t="s">
        <v>375</v>
      </c>
      <c r="X10" s="81">
        <v>4.7222222222222221E-2</v>
      </c>
      <c r="Y10" t="s">
        <v>347</v>
      </c>
      <c r="Z10" s="81">
        <v>2.0833333333333332E-2</v>
      </c>
      <c r="AA10" t="s">
        <v>302</v>
      </c>
      <c r="AB10" s="81">
        <v>2.7777777777777776E-2</v>
      </c>
      <c r="AC10" t="s">
        <v>286</v>
      </c>
      <c r="AD10" s="81">
        <v>0.10555555555555556</v>
      </c>
      <c r="AE10" t="s">
        <v>258</v>
      </c>
      <c r="AF10" s="81">
        <v>8.7500000000000008E-2</v>
      </c>
      <c r="AG10" t="s">
        <v>230</v>
      </c>
      <c r="AH10" s="81">
        <v>5.5555555555555552E-2</v>
      </c>
      <c r="AI10" t="s">
        <v>188</v>
      </c>
      <c r="AJ10" s="81">
        <v>0.16527777777777777</v>
      </c>
      <c r="AK10" t="s">
        <v>135</v>
      </c>
      <c r="AL10" s="81">
        <v>0.16527777777777777</v>
      </c>
    </row>
    <row r="11" spans="1:40" x14ac:dyDescent="0.25">
      <c r="B11" s="198"/>
      <c r="C11" s="193"/>
      <c r="D11" s="193"/>
      <c r="E11" s="193"/>
      <c r="F11" s="193"/>
      <c r="G11" s="193"/>
      <c r="H11" s="193"/>
      <c r="I11" s="194"/>
      <c r="K11" t="s">
        <v>358</v>
      </c>
      <c r="L11" s="81">
        <v>5.6944444444444443E-2</v>
      </c>
      <c r="M11" t="s">
        <v>492</v>
      </c>
      <c r="N11" s="81">
        <v>1.3888888888888888E-2</v>
      </c>
      <c r="O11" t="s">
        <v>477</v>
      </c>
      <c r="P11" s="81">
        <v>1.8055555555555557E-2</v>
      </c>
      <c r="Q11" t="s">
        <v>460</v>
      </c>
      <c r="R11" s="81">
        <v>0.10694444444444444</v>
      </c>
      <c r="S11" t="s">
        <v>440</v>
      </c>
      <c r="T11" s="81">
        <v>7.9166666666666663E-2</v>
      </c>
      <c r="U11" t="s">
        <v>420</v>
      </c>
      <c r="V11" s="81">
        <v>1.0416666666666666E-2</v>
      </c>
      <c r="W11" t="s">
        <v>376</v>
      </c>
      <c r="X11" s="81">
        <v>9.0972222222222218E-2</v>
      </c>
      <c r="Y11" t="s">
        <v>349</v>
      </c>
      <c r="Z11" s="81">
        <v>3.8194444444444441E-2</v>
      </c>
      <c r="AA11" t="s">
        <v>306</v>
      </c>
      <c r="AB11" s="81">
        <v>8.3333333333333329E-2</v>
      </c>
      <c r="AC11" t="s">
        <v>287</v>
      </c>
      <c r="AD11" s="81">
        <v>0.17361111111111113</v>
      </c>
      <c r="AE11" s="2" t="s">
        <v>233</v>
      </c>
      <c r="AF11" s="81">
        <v>8.9583333333333334E-2</v>
      </c>
      <c r="AG11" t="s">
        <v>231</v>
      </c>
      <c r="AH11" s="81">
        <v>0.14930555555555555</v>
      </c>
      <c r="AI11" t="s">
        <v>189</v>
      </c>
      <c r="AJ11" s="81">
        <v>1.0416666666666666E-2</v>
      </c>
      <c r="AK11" t="s">
        <v>136</v>
      </c>
      <c r="AL11" s="81">
        <v>4.2361111111111106E-2</v>
      </c>
    </row>
    <row r="12" spans="1:40" x14ac:dyDescent="0.25">
      <c r="B12" s="198" t="s">
        <v>4</v>
      </c>
      <c r="C12" s="193">
        <f>SUMIF(AE:AE,"*[Implementierung]*",AF:AF)</f>
        <v>0.31527777777777777</v>
      </c>
      <c r="D12" s="193">
        <f>SUMIF(AE:AE,"*[Testen]*",AF:AF)</f>
        <v>8.9583333333333334E-2</v>
      </c>
      <c r="E12" s="193">
        <f>SUMIF(AE:AE,"*[Entwurf]*",AF:AF)</f>
        <v>0</v>
      </c>
      <c r="F12" s="193">
        <f>SUMIF(AE:AE,"*[Recherche]*",AF:AF)</f>
        <v>0</v>
      </c>
      <c r="G12" s="193">
        <f>SUMIF(AE:AE,"*[Organisation]*",AF:AF)</f>
        <v>8.3333333333333329E-2</v>
      </c>
      <c r="H12" s="193">
        <f>SUMIF(Meetings!O4:O11,"*Stephan*",Meetings!N4:N11)</f>
        <v>8.1249999999999989E-2</v>
      </c>
      <c r="I12" s="194">
        <f>SUM(C12:H13)</f>
        <v>0.56944444444444442</v>
      </c>
      <c r="K12" t="s">
        <v>516</v>
      </c>
      <c r="L12" s="81">
        <v>8.3333333333333329E-2</v>
      </c>
      <c r="M12" t="s">
        <v>494</v>
      </c>
      <c r="N12" s="81">
        <v>4.1666666666666664E-2</v>
      </c>
      <c r="O12" t="s">
        <v>478</v>
      </c>
      <c r="P12" s="81">
        <v>4.8611111111111112E-2</v>
      </c>
      <c r="Q12" t="s">
        <v>463</v>
      </c>
      <c r="R12" s="81">
        <v>1.0416666666666666E-2</v>
      </c>
      <c r="S12" s="2" t="s">
        <v>233</v>
      </c>
      <c r="T12" s="81">
        <v>3.7499999999999999E-2</v>
      </c>
      <c r="U12" s="2" t="s">
        <v>233</v>
      </c>
      <c r="V12" s="81">
        <v>5.347222222222222E-2</v>
      </c>
      <c r="W12" s="2" t="s">
        <v>233</v>
      </c>
      <c r="X12" s="81">
        <v>9.6527777777777768E-2</v>
      </c>
      <c r="Y12" t="s">
        <v>352</v>
      </c>
      <c r="Z12" s="81">
        <v>8.819444444444445E-2</v>
      </c>
      <c r="AA12" t="s">
        <v>320</v>
      </c>
      <c r="AB12" s="81">
        <v>0.13541666666666666</v>
      </c>
      <c r="AC12" s="2" t="s">
        <v>233</v>
      </c>
      <c r="AD12" s="81">
        <v>3.3333333333333333E-2</v>
      </c>
      <c r="AG12" t="s">
        <v>232</v>
      </c>
      <c r="AH12" s="81">
        <v>7.6388888888888895E-2</v>
      </c>
      <c r="AI12" t="s">
        <v>190</v>
      </c>
      <c r="AJ12" s="81">
        <v>3.472222222222222E-3</v>
      </c>
      <c r="AK12" t="s">
        <v>137</v>
      </c>
      <c r="AL12" s="81">
        <v>1.7361111111111112E-2</v>
      </c>
    </row>
    <row r="13" spans="1:40" x14ac:dyDescent="0.25">
      <c r="B13" s="198"/>
      <c r="C13" s="193"/>
      <c r="D13" s="193"/>
      <c r="E13" s="193"/>
      <c r="F13" s="193"/>
      <c r="G13" s="193"/>
      <c r="H13" s="193"/>
      <c r="I13" s="194"/>
      <c r="K13" t="s">
        <v>512</v>
      </c>
      <c r="L13" s="81">
        <v>2.0833333333333332E-2</v>
      </c>
      <c r="M13" s="2" t="s">
        <v>233</v>
      </c>
      <c r="N13" s="81">
        <v>1.5277777777777777E-2</v>
      </c>
      <c r="O13" t="s">
        <v>479</v>
      </c>
      <c r="P13" s="81">
        <v>3.8194444444444441E-2</v>
      </c>
      <c r="Q13" s="2" t="s">
        <v>233</v>
      </c>
      <c r="R13" s="81">
        <v>7.013888888888889E-2</v>
      </c>
      <c r="W13" t="s">
        <v>387</v>
      </c>
      <c r="X13" s="81">
        <v>7.1527777777777787E-2</v>
      </c>
      <c r="Y13" t="s">
        <v>353</v>
      </c>
      <c r="Z13" s="81">
        <v>7.6388888888888895E-2</v>
      </c>
      <c r="AA13" t="s">
        <v>314</v>
      </c>
      <c r="AB13" s="81">
        <v>2.9861111111111113E-2</v>
      </c>
      <c r="AG13" t="s">
        <v>233</v>
      </c>
      <c r="AH13" s="81">
        <v>3.6805555555555557E-2</v>
      </c>
      <c r="AI13" t="s">
        <v>191</v>
      </c>
      <c r="AJ13" s="81">
        <v>3.3333333333333333E-2</v>
      </c>
      <c r="AK13" t="s">
        <v>138</v>
      </c>
      <c r="AL13" s="81">
        <v>6.9444444444444441E-3</v>
      </c>
    </row>
    <row r="14" spans="1:40" x14ac:dyDescent="0.25">
      <c r="B14" s="198" t="s">
        <v>5</v>
      </c>
      <c r="C14" s="193">
        <f>SUMIF(AC:AC,"*[Implementierung]*",AD:AD)</f>
        <v>0.44027777777777777</v>
      </c>
      <c r="D14" s="193">
        <f>SUMIF(AC:AC,"*[Testen]*",AD:AD)</f>
        <v>3.3333333333333333E-2</v>
      </c>
      <c r="E14" s="193">
        <f>SUMIF(AC:AC,"*[Entwurf]*",AD:AD)</f>
        <v>4.1666666666666664E-2</v>
      </c>
      <c r="F14" s="193">
        <f>SUMIF(AC:AC,"*[Recherche]*",AD:AD)</f>
        <v>0</v>
      </c>
      <c r="G14" s="193">
        <f>SUMIF(AC:AC,"*[Organisation]*",AD:AD)</f>
        <v>0.21458333333333335</v>
      </c>
      <c r="H14" s="193">
        <f>SUMIF(Meetings!R4:R11,"*Stephan*",Meetings!Q4:Q11)</f>
        <v>0.15625</v>
      </c>
      <c r="I14" s="194">
        <f>SUM(C14:H15)</f>
        <v>0.88611111111111107</v>
      </c>
      <c r="K14" s="2" t="s">
        <v>233</v>
      </c>
      <c r="L14" s="81">
        <v>4.8611111111111112E-2</v>
      </c>
      <c r="O14" t="s">
        <v>480</v>
      </c>
      <c r="P14" s="81">
        <v>6.25E-2</v>
      </c>
      <c r="W14" t="s">
        <v>386</v>
      </c>
      <c r="X14" s="81">
        <v>4.1666666666666664E-2</v>
      </c>
      <c r="Y14" s="2" t="s">
        <v>233</v>
      </c>
      <c r="Z14" s="81">
        <v>8.819444444444445E-2</v>
      </c>
      <c r="AA14" s="2" t="s">
        <v>233</v>
      </c>
      <c r="AB14" s="81">
        <v>2.7777777777777776E-2</v>
      </c>
      <c r="AG14" t="s">
        <v>234</v>
      </c>
      <c r="AH14" s="81">
        <v>3.6111111111111115E-2</v>
      </c>
      <c r="AI14" t="s">
        <v>192</v>
      </c>
      <c r="AJ14" s="81">
        <v>6.9444444444444441E-3</v>
      </c>
    </row>
    <row r="15" spans="1:40" x14ac:dyDescent="0.25">
      <c r="B15" s="198"/>
      <c r="C15" s="193"/>
      <c r="D15" s="193"/>
      <c r="E15" s="193"/>
      <c r="F15" s="193"/>
      <c r="G15" s="193"/>
      <c r="H15" s="193"/>
      <c r="I15" s="194"/>
      <c r="O15" t="s">
        <v>481</v>
      </c>
      <c r="P15" s="81">
        <v>0.10416666666666667</v>
      </c>
      <c r="AA15" t="s">
        <v>316</v>
      </c>
      <c r="AB15" s="81">
        <v>4.5138888888888888E-2</v>
      </c>
      <c r="AI15" t="s">
        <v>193</v>
      </c>
      <c r="AJ15" s="81">
        <v>2.7777777777777776E-2</v>
      </c>
    </row>
    <row r="16" spans="1:40" x14ac:dyDescent="0.25">
      <c r="B16" s="198" t="s">
        <v>6</v>
      </c>
      <c r="C16" s="193">
        <f>SUMIF(AA:AA,"*[Implementierung]*",AB:AB)</f>
        <v>0.30277777777777776</v>
      </c>
      <c r="D16" s="193">
        <f>SUMIF(AA:AA,"*[Testen]*",AB:AB)</f>
        <v>2.7777777777777776E-2</v>
      </c>
      <c r="E16" s="193">
        <f>SUMIF(AA:AA,"*[Entwurf]*",AB:AB)</f>
        <v>0</v>
      </c>
      <c r="F16" s="193">
        <f>SUMIF(AA:AA,"*[Recherche]*",AB:AB)</f>
        <v>0</v>
      </c>
      <c r="G16" s="193">
        <f>SUMIF(AA:AA,"*[Organisation]*",AB:AB)</f>
        <v>0.36805555555555558</v>
      </c>
      <c r="H16" s="193">
        <f>SUMIF(Meetings!U4:U11,"*Stephan*",Meetings!T4:T11)</f>
        <v>7.6388888888888895E-2</v>
      </c>
      <c r="I16" s="194">
        <f>SUM(C16:H17)</f>
        <v>0.77499999999999991</v>
      </c>
      <c r="O16" t="s">
        <v>482</v>
      </c>
      <c r="P16" s="81">
        <v>6.2499999999999995E-3</v>
      </c>
      <c r="AA16" t="s">
        <v>317</v>
      </c>
      <c r="AB16" s="81">
        <v>4.1666666666666666E-3</v>
      </c>
      <c r="AI16" t="s">
        <v>194</v>
      </c>
      <c r="AJ16" s="81">
        <v>5.7638888888888885E-2</v>
      </c>
    </row>
    <row r="17" spans="2:36" x14ac:dyDescent="0.25">
      <c r="B17" s="198"/>
      <c r="C17" s="193"/>
      <c r="D17" s="193"/>
      <c r="E17" s="193"/>
      <c r="F17" s="193"/>
      <c r="G17" s="193"/>
      <c r="H17" s="193"/>
      <c r="I17" s="194"/>
      <c r="O17" t="s">
        <v>483</v>
      </c>
      <c r="P17" s="81">
        <v>2.0833333333333332E-2</v>
      </c>
      <c r="AI17" t="s">
        <v>166</v>
      </c>
      <c r="AJ17" s="81">
        <v>6.9444444444444441E-3</v>
      </c>
    </row>
    <row r="18" spans="2:36" x14ac:dyDescent="0.25">
      <c r="B18" s="198" t="s">
        <v>28</v>
      </c>
      <c r="C18" s="193">
        <f>SUMIF(Y:Y,"*[Implementierung]*",Z:Z)</f>
        <v>0.55902777777777768</v>
      </c>
      <c r="D18" s="193">
        <f>SUMIF(Y:Y,"*[Testen]*",Z:Z)</f>
        <v>8.819444444444445E-2</v>
      </c>
      <c r="E18" s="193">
        <f>SUMIF(Y:Y,"*[Entwurf]*",Z:Z)</f>
        <v>0</v>
      </c>
      <c r="F18" s="193">
        <f>SUMIF(Y:Y,"*[Recherche]*",Z:Z)</f>
        <v>0</v>
      </c>
      <c r="G18" s="193">
        <f>SUMIF(Y:Y,"*[Organisation]*",Z:Z)</f>
        <v>0</v>
      </c>
      <c r="H18" s="193">
        <f>SUMIF(Meetings!C14:C21,"*Stephan*",Meetings!B14:B21)</f>
        <v>0.2326388888888889</v>
      </c>
      <c r="I18" s="194">
        <f>SUM(C18:H19)</f>
        <v>0.87986111111111098</v>
      </c>
      <c r="O18" s="2" t="s">
        <v>233</v>
      </c>
      <c r="P18" s="81">
        <v>3.6111111111111115E-2</v>
      </c>
      <c r="AI18" t="s">
        <v>195</v>
      </c>
      <c r="AJ18" s="81">
        <v>2.4999999999999998E-2</v>
      </c>
    </row>
    <row r="19" spans="2:36" x14ac:dyDescent="0.25">
      <c r="B19" s="198"/>
      <c r="C19" s="193"/>
      <c r="D19" s="193"/>
      <c r="E19" s="193"/>
      <c r="F19" s="193"/>
      <c r="G19" s="193"/>
      <c r="H19" s="193"/>
      <c r="I19" s="194"/>
      <c r="AI19" t="s">
        <v>196</v>
      </c>
      <c r="AJ19" s="81">
        <v>3.4027777777777775E-2</v>
      </c>
    </row>
    <row r="20" spans="2:36" x14ac:dyDescent="0.25">
      <c r="B20" s="198" t="s">
        <v>29</v>
      </c>
      <c r="C20" s="193">
        <f>SUMIF(W:W,"*[Implementierung]*",X:X)</f>
        <v>0.32708333333333334</v>
      </c>
      <c r="D20" s="193">
        <f>SUMIF(W:W,"*[Testen]*",X:X)</f>
        <v>9.6527777777777768E-2</v>
      </c>
      <c r="E20" s="193">
        <f>SUMIF(W:W,"*[Entwurf]*",X:X)</f>
        <v>0</v>
      </c>
      <c r="F20" s="193">
        <f>SUMIF(W:W,"*[Recherche]*",X:X)</f>
        <v>0</v>
      </c>
      <c r="G20" s="193">
        <f>SUMIF(W:W,"*[Organisation]*",X:X)</f>
        <v>8.5416666666666669E-2</v>
      </c>
      <c r="H20" s="193">
        <f>SUMIF(Meetings!F14:F21,"*Stephan*",Meetings!E14:E21)</f>
        <v>0.10416666666666666</v>
      </c>
      <c r="I20" s="194">
        <f>SUM(C20:H21)</f>
        <v>0.61319444444444438</v>
      </c>
      <c r="AI20" t="s">
        <v>197</v>
      </c>
      <c r="AJ20" s="81">
        <v>5.4166666666666669E-2</v>
      </c>
    </row>
    <row r="21" spans="2:36" x14ac:dyDescent="0.25">
      <c r="B21" s="198"/>
      <c r="C21" s="193"/>
      <c r="D21" s="193"/>
      <c r="E21" s="193"/>
      <c r="F21" s="193"/>
      <c r="G21" s="193"/>
      <c r="H21" s="193"/>
      <c r="I21" s="194"/>
      <c r="AI21" t="s">
        <v>174</v>
      </c>
      <c r="AJ21" s="81">
        <v>2.7777777777777779E-3</v>
      </c>
    </row>
    <row r="22" spans="2:36" x14ac:dyDescent="0.25">
      <c r="B22" s="198" t="s">
        <v>30</v>
      </c>
      <c r="C22" s="193">
        <f>SUMIF(U:U,"*[Implementierung]*",V:V)</f>
        <v>0.56041666666666656</v>
      </c>
      <c r="D22" s="193">
        <f>SUMIF(U:U,"*[Testen]*",V:V)</f>
        <v>5.347222222222222E-2</v>
      </c>
      <c r="E22" s="193">
        <f>SUMIF(U:U,"*[Entwurf]*",V:V)</f>
        <v>0</v>
      </c>
      <c r="F22" s="193">
        <f>SUMIF(U:U,"*[Recherche]*",V:V)</f>
        <v>0</v>
      </c>
      <c r="G22" s="193">
        <f>SUMIF(U:U,"*[Organisation]*",V:V)</f>
        <v>1.3888888888888888E-2</v>
      </c>
      <c r="H22" s="193">
        <f>SUMIF(Meetings!I14:I21,"*Stephan*",Meetings!H14:H21)</f>
        <v>0.1388888888888889</v>
      </c>
      <c r="I22" s="194">
        <f>SUM(C22:H23)</f>
        <v>0.76666666666666661</v>
      </c>
    </row>
    <row r="23" spans="2:36" x14ac:dyDescent="0.25">
      <c r="B23" s="198"/>
      <c r="C23" s="193"/>
      <c r="D23" s="193"/>
      <c r="E23" s="193"/>
      <c r="F23" s="193"/>
      <c r="G23" s="193"/>
      <c r="H23" s="193"/>
      <c r="I23" s="194"/>
    </row>
    <row r="24" spans="2:36" x14ac:dyDescent="0.25">
      <c r="B24" s="198" t="s">
        <v>31</v>
      </c>
      <c r="C24" s="193">
        <f>SUMIF(S:S,"*[Implementierung]*",T:T)</f>
        <v>0.35694444444444445</v>
      </c>
      <c r="D24" s="193">
        <f>SUMIF(S:S,"*[Testen]*",T:T)</f>
        <v>3.7499999999999999E-2</v>
      </c>
      <c r="E24" s="193">
        <f>SUMIF(S:S,"*[Entwurf]*",T:T)</f>
        <v>0</v>
      </c>
      <c r="F24" s="193">
        <f>SUMIF(S:S,"*[Recherche]*",T:T)</f>
        <v>0</v>
      </c>
      <c r="G24" s="193">
        <f>SUMIF(S:S,"*[Organisation]*",T:T)</f>
        <v>0.12777777777777777</v>
      </c>
      <c r="H24" s="193">
        <f>SUMIF(Meetings!L14:L21,"*Stephan*",Meetings!K14:K21)</f>
        <v>0.11944444444444444</v>
      </c>
      <c r="I24" s="194">
        <f>SUM(C24:H25)</f>
        <v>0.64166666666666661</v>
      </c>
    </row>
    <row r="25" spans="2:36" x14ac:dyDescent="0.25">
      <c r="B25" s="198"/>
      <c r="C25" s="193"/>
      <c r="D25" s="193"/>
      <c r="E25" s="193"/>
      <c r="F25" s="193"/>
      <c r="G25" s="193"/>
      <c r="H25" s="193"/>
      <c r="I25" s="194"/>
    </row>
    <row r="26" spans="2:36" x14ac:dyDescent="0.25">
      <c r="B26" s="198" t="s">
        <v>32</v>
      </c>
      <c r="C26" s="193">
        <f>SUMIF(Q:Q,"*[Implementierung]*",R:R)</f>
        <v>0.53472222222222221</v>
      </c>
      <c r="D26" s="193">
        <f>SUMIF(Q:Q,"*[Testen]*",R:R)</f>
        <v>7.013888888888889E-2</v>
      </c>
      <c r="E26" s="193">
        <f>SUMIF(Q:Q,"*[Entwurf]*",R:R)</f>
        <v>0</v>
      </c>
      <c r="F26" s="193">
        <f>SUMIF(Q:Q,"*[Recherche]*",R:R)</f>
        <v>0</v>
      </c>
      <c r="G26" s="193">
        <f>SUMIF(Q:Q,"*[Organisation]*",R:R)</f>
        <v>2.7777777777777776E-2</v>
      </c>
      <c r="H26" s="193">
        <f>SUMIF(Meetings!O14:O21,"*Stephan*",Meetings!N14:N21)</f>
        <v>7.6388888888888895E-2</v>
      </c>
      <c r="I26" s="194">
        <f>SUM(C26:H27)</f>
        <v>0.70902777777777781</v>
      </c>
    </row>
    <row r="27" spans="2:36" x14ac:dyDescent="0.25">
      <c r="B27" s="198"/>
      <c r="C27" s="193"/>
      <c r="D27" s="193"/>
      <c r="E27" s="193"/>
      <c r="F27" s="193"/>
      <c r="G27" s="193"/>
      <c r="H27" s="193"/>
      <c r="I27" s="194"/>
    </row>
    <row r="28" spans="2:36" x14ac:dyDescent="0.25">
      <c r="B28" s="198" t="s">
        <v>33</v>
      </c>
      <c r="C28" s="193">
        <f>SUMIF(O:O,"*[Implementierung]*",P:P)</f>
        <v>0.38888888888888884</v>
      </c>
      <c r="D28" s="193">
        <f>SUMIF(O:O,"*[Testen]*",P:P)</f>
        <v>3.6111111111111115E-2</v>
      </c>
      <c r="E28" s="193">
        <f>SUMIF(O:O,"*[Entwurf]*",P:P)</f>
        <v>0</v>
      </c>
      <c r="F28" s="193">
        <f>SUMIF(O:O,"*[Recherche]*",P:P)</f>
        <v>0</v>
      </c>
      <c r="G28" s="193">
        <f>SUMIF(O:O,"*[Organisation]*",P:P)</f>
        <v>0.20138888888888892</v>
      </c>
      <c r="H28" s="193">
        <f>SUMIF(Meetings!R14:R21,"*Stephan*",Meetings!Q14:Q21)</f>
        <v>7.2916666666666657E-2</v>
      </c>
      <c r="I28" s="194">
        <f>SUM(C28:H29)</f>
        <v>0.69930555555555551</v>
      </c>
    </row>
    <row r="29" spans="2:36" x14ac:dyDescent="0.25">
      <c r="B29" s="198"/>
      <c r="C29" s="193"/>
      <c r="D29" s="193"/>
      <c r="E29" s="193"/>
      <c r="F29" s="193"/>
      <c r="G29" s="193"/>
      <c r="H29" s="193"/>
      <c r="I29" s="194"/>
    </row>
    <row r="30" spans="2:36" x14ac:dyDescent="0.25">
      <c r="B30" s="198" t="s">
        <v>34</v>
      </c>
      <c r="C30" s="193">
        <f>SUMIF(M:M,"*[Implementierung]*",N:N)</f>
        <v>0.45763888888888887</v>
      </c>
      <c r="D30" s="193">
        <f>SUMIF(M:M,"*[Testen]*",N:N)</f>
        <v>1.5277777777777777E-2</v>
      </c>
      <c r="E30" s="193">
        <f>SUMIF(M:M,"*[Entwurf]*",N:N)</f>
        <v>0</v>
      </c>
      <c r="F30" s="193">
        <f>SUMIF(M:M,"*[Recherche]*",N:N)</f>
        <v>0</v>
      </c>
      <c r="G30" s="193">
        <f>SUMIF(M:M,"*[Organisation]*",N:N)</f>
        <v>0</v>
      </c>
      <c r="H30" s="193">
        <f>SUMIF(Meetings!U14:U21,"*Stephan*",Meetings!T14:T21)</f>
        <v>5.5555555555555552E-2</v>
      </c>
      <c r="I30" s="194">
        <f>SUM(C30:H31)</f>
        <v>0.52847222222222223</v>
      </c>
    </row>
    <row r="31" spans="2:36" x14ac:dyDescent="0.25">
      <c r="B31" s="198"/>
      <c r="C31" s="193"/>
      <c r="D31" s="193"/>
      <c r="E31" s="193"/>
      <c r="F31" s="193"/>
      <c r="G31" s="193"/>
      <c r="H31" s="193"/>
      <c r="I31" s="195"/>
    </row>
    <row r="32" spans="2:36" x14ac:dyDescent="0.25">
      <c r="B32" s="198" t="s">
        <v>392</v>
      </c>
      <c r="C32" s="193">
        <f>SUMIF(K:K,"*[Implementierung]*",L:L)</f>
        <v>0.55833333333333346</v>
      </c>
      <c r="D32" s="193">
        <f>SUMIF(K:K,"*[Testen]*",L:L)</f>
        <v>4.8611111111111112E-2</v>
      </c>
      <c r="E32" s="193">
        <f>SUMIF(K:K,"*[Entwurf]*",L:L)</f>
        <v>0</v>
      </c>
      <c r="F32" s="193">
        <f>SUMIF(K:K,"*[Recherche]*",L:L)</f>
        <v>0</v>
      </c>
      <c r="G32" s="193">
        <f>SUMIF(K:K,"*[Organisation]*",L:L)</f>
        <v>0.18194444444444444</v>
      </c>
      <c r="H32" s="193">
        <f>SUMIF(Meetings!C24:C31,"*Stephan*",Meetings!B24:B31)</f>
        <v>9.0277777777777776E-2</v>
      </c>
      <c r="I32" s="194">
        <f>SUM(C32:H33)</f>
        <v>0.87916666666666687</v>
      </c>
    </row>
    <row r="33" spans="2:9" x14ac:dyDescent="0.25">
      <c r="B33" s="198"/>
      <c r="C33" s="193"/>
      <c r="D33" s="193"/>
      <c r="E33" s="193"/>
      <c r="F33" s="193"/>
      <c r="G33" s="193"/>
      <c r="H33" s="193"/>
      <c r="I33" s="195"/>
    </row>
    <row r="34" spans="2:9" x14ac:dyDescent="0.25">
      <c r="B34" s="198" t="s">
        <v>393</v>
      </c>
      <c r="C34" s="193"/>
      <c r="D34" s="193"/>
      <c r="E34" s="193"/>
      <c r="F34" s="193"/>
      <c r="G34" s="193"/>
      <c r="H34" s="193">
        <f>SUMIF(Meetings!F24:F31,"*Stephan*",Meetings!E24:E31)</f>
        <v>0.18055555555555552</v>
      </c>
      <c r="I34" s="194">
        <f>SUM(C34:H35)</f>
        <v>0.18055555555555552</v>
      </c>
    </row>
    <row r="35" spans="2:9" x14ac:dyDescent="0.25">
      <c r="B35" s="198"/>
      <c r="C35" s="193"/>
      <c r="D35" s="193"/>
      <c r="E35" s="193"/>
      <c r="F35" s="193"/>
      <c r="G35" s="193"/>
      <c r="H35" s="193"/>
      <c r="I35" s="195"/>
    </row>
    <row r="36" spans="2:9" x14ac:dyDescent="0.25">
      <c r="B36" s="198" t="s">
        <v>394</v>
      </c>
      <c r="C36" s="193"/>
      <c r="D36" s="193"/>
      <c r="E36" s="193"/>
      <c r="F36" s="193"/>
      <c r="G36" s="193"/>
      <c r="H36" s="193">
        <f>SUMIF(Meetings!I24:I31,"*Stephan*",Meetings!H24:H31)</f>
        <v>0</v>
      </c>
      <c r="I36" s="194">
        <f>SUM(C36:H37)</f>
        <v>0</v>
      </c>
    </row>
    <row r="37" spans="2:9" ht="15.75" thickBot="1" x14ac:dyDescent="0.3">
      <c r="B37" s="198"/>
      <c r="C37" s="193"/>
      <c r="D37" s="193"/>
      <c r="E37" s="193"/>
      <c r="F37" s="193"/>
      <c r="G37" s="193"/>
      <c r="H37" s="193"/>
      <c r="I37" s="195"/>
    </row>
    <row r="38" spans="2:9" x14ac:dyDescent="0.25">
      <c r="B38" s="192" t="s">
        <v>43</v>
      </c>
      <c r="C38" s="194">
        <f t="shared" ref="C38:H38" si="0">SUM(C4:C31)</f>
        <v>5.3486111111111114</v>
      </c>
      <c r="D38" s="194">
        <f t="shared" si="0"/>
        <v>0.72430555555555554</v>
      </c>
      <c r="E38" s="194">
        <f t="shared" si="0"/>
        <v>0.1986111111111111</v>
      </c>
      <c r="F38" s="194">
        <f t="shared" si="0"/>
        <v>0.28472222222222221</v>
      </c>
      <c r="G38" s="194">
        <f t="shared" si="0"/>
        <v>1.5652777777777778</v>
      </c>
      <c r="H38" s="199">
        <f t="shared" si="0"/>
        <v>1.7284722222222222</v>
      </c>
      <c r="I38" s="201">
        <f>SUM(C38:H39)</f>
        <v>9.8500000000000014</v>
      </c>
    </row>
    <row r="39" spans="2:9" ht="15.75" thickBot="1" x14ac:dyDescent="0.3">
      <c r="B39" s="192"/>
      <c r="C39" s="192"/>
      <c r="D39" s="192"/>
      <c r="E39" s="192"/>
      <c r="F39" s="192"/>
      <c r="G39" s="192"/>
      <c r="H39" s="200"/>
      <c r="I39" s="202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2020-08-11T14:38:56Z</dcterms:modified>
</cp:coreProperties>
</file>